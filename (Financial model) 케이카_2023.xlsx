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urexpartners-my.sharepoint.com/personal/tm_yang_murexpartners_onmicrosoft_com/Documents/바탕 화면/financial-modeling/"/>
    </mc:Choice>
  </mc:AlternateContent>
  <xr:revisionPtr revIDLastSave="0" documentId="8_{B7627FE6-E416-4F60-800D-913F9FE5F50B}" xr6:coauthVersionLast="47" xr6:coauthVersionMax="47" xr10:uidLastSave="{00000000-0000-0000-0000-000000000000}"/>
  <bookViews>
    <workbookView xWindow="-120" yWindow="-120" windowWidth="29040" windowHeight="17520" tabRatio="757" xr2:uid="{86E0C40F-9D97-4BE7-A3A7-E4690913BBAB}"/>
  </bookViews>
  <sheets>
    <sheet name="Index" sheetId="11" r:id="rId1"/>
    <sheet name="Control" sheetId="21" r:id="rId2"/>
    <sheet name="DCF" sheetId="12" r:id="rId3"/>
    <sheet name="Sales" sheetId="4" r:id="rId4"/>
    <sheet name="Sales Bridge" sheetId="8" r:id="rId5"/>
    <sheet name="Cost" sheetId="19" r:id="rId6"/>
    <sheet name="CapEx,D&amp;A" sheetId="14" r:id="rId7"/>
    <sheet name="Labor" sheetId="18" r:id="rId8"/>
    <sheet name="NWC" sheetId="15" r:id="rId9"/>
    <sheet name="BS" sheetId="9" r:id="rId10"/>
    <sheet name="Dart&gt;&gt;" sheetId="16" r:id="rId11"/>
    <sheet name="Dart_시장리서치" sheetId="7" r:id="rId12"/>
    <sheet name="Dart_FS" sheetId="1" r:id="rId13"/>
    <sheet name="Dart_Labor" sheetId="17" r:id="rId14"/>
    <sheet name="Dart_Cost" sheetId="2" r:id="rId15"/>
    <sheet name="Dart_Sales" sheetId="6" r:id="rId16"/>
    <sheet name="Dart_중고차 Sales" sheetId="3" r:id="rId17"/>
    <sheet name="Dart_Capture" sheetId="5" r:id="rId18"/>
  </sheets>
  <definedNames>
    <definedName name="_xlchart.v1.0" hidden="1">'Sales Bridge'!$C$20:$C$56</definedName>
    <definedName name="_xlchart.v1.1" hidden="1">'Sales Bridge'!$D$20:$D$56</definedName>
    <definedName name="solver_adj" localSheetId="16" hidden="1">'Dart_중고차 Sales'!$Q$17</definedName>
    <definedName name="solver_cvg" localSheetId="16" hidden="1">0.0001</definedName>
    <definedName name="solver_drv" localSheetId="16" hidden="1">1</definedName>
    <definedName name="solver_eng" localSheetId="16" hidden="1">1</definedName>
    <definedName name="solver_est" localSheetId="16" hidden="1">1</definedName>
    <definedName name="solver_itr" localSheetId="16" hidden="1">2147483647</definedName>
    <definedName name="solver_mip" localSheetId="16" hidden="1">2147483647</definedName>
    <definedName name="solver_mni" localSheetId="16" hidden="1">30</definedName>
    <definedName name="solver_mrt" localSheetId="16" hidden="1">0.075</definedName>
    <definedName name="solver_msl" localSheetId="16" hidden="1">2</definedName>
    <definedName name="solver_neg" localSheetId="16" hidden="1">1</definedName>
    <definedName name="solver_nod" localSheetId="16" hidden="1">2147483647</definedName>
    <definedName name="solver_num" localSheetId="16" hidden="1">0</definedName>
    <definedName name="solver_nwt" localSheetId="16" hidden="1">1</definedName>
    <definedName name="solver_opt" localSheetId="16" hidden="1">'Dart_중고차 Sales'!$E$44</definedName>
    <definedName name="solver_pre" localSheetId="16" hidden="1">0.000001</definedName>
    <definedName name="solver_rbv" localSheetId="16" hidden="1">1</definedName>
    <definedName name="solver_rlx" localSheetId="16" hidden="1">2</definedName>
    <definedName name="solver_rsd" localSheetId="16" hidden="1">0</definedName>
    <definedName name="solver_scl" localSheetId="16" hidden="1">1</definedName>
    <definedName name="solver_sho" localSheetId="16" hidden="1">2</definedName>
    <definedName name="solver_ssz" localSheetId="16" hidden="1">100</definedName>
    <definedName name="solver_tim" localSheetId="16" hidden="1">2147483647</definedName>
    <definedName name="solver_tol" localSheetId="16" hidden="1">0.01</definedName>
    <definedName name="solver_typ" localSheetId="16" hidden="1">3</definedName>
    <definedName name="solver_val" localSheetId="16" hidden="1">0</definedName>
    <definedName name="solver_ver" localSheetId="16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9" i="21" l="1"/>
  <c r="L139" i="21" s="1"/>
  <c r="M139" i="21" s="1"/>
  <c r="N139" i="21" s="1"/>
  <c r="K103" i="21"/>
  <c r="L103" i="21" s="1"/>
  <c r="M103" i="21" s="1"/>
  <c r="N103" i="21" s="1"/>
  <c r="K96" i="21"/>
  <c r="L96" i="21" s="1"/>
  <c r="K97" i="21"/>
  <c r="L97" i="21" s="1"/>
  <c r="M97" i="21" s="1"/>
  <c r="N97" i="21" s="1"/>
  <c r="P7" i="14" s="1"/>
  <c r="K94" i="21"/>
  <c r="L94" i="21" s="1"/>
  <c r="M94" i="21" s="1"/>
  <c r="N94" i="21" s="1"/>
  <c r="B87" i="21"/>
  <c r="K85" i="21"/>
  <c r="L85" i="21" s="1"/>
  <c r="M85" i="21" s="1"/>
  <c r="N85" i="21" s="1"/>
  <c r="B88" i="21"/>
  <c r="B89" i="21"/>
  <c r="B90" i="21"/>
  <c r="B91" i="21"/>
  <c r="B92" i="21"/>
  <c r="K71" i="21"/>
  <c r="L71" i="21" s="1"/>
  <c r="M71" i="21" s="1"/>
  <c r="N71" i="21" s="1"/>
  <c r="B78" i="21"/>
  <c r="B79" i="21"/>
  <c r="B80" i="21"/>
  <c r="B81" i="21"/>
  <c r="B82" i="21"/>
  <c r="B83" i="21"/>
  <c r="K61" i="21"/>
  <c r="L61" i="21" s="1"/>
  <c r="M61" i="21" s="1"/>
  <c r="N61" i="21" s="1"/>
  <c r="K37" i="21"/>
  <c r="L37" i="21" s="1"/>
  <c r="M37" i="21" s="1"/>
  <c r="N37" i="21" s="1"/>
  <c r="K13" i="21"/>
  <c r="L13" i="21" s="1"/>
  <c r="M13" i="21" s="1"/>
  <c r="N13" i="21" s="1"/>
  <c r="K7" i="21"/>
  <c r="L7" i="21" s="1"/>
  <c r="M7" i="21" s="1"/>
  <c r="N7" i="21" s="1"/>
  <c r="H25" i="12"/>
  <c r="N25" i="12"/>
  <c r="N26" i="12" s="1"/>
  <c r="P19" i="14"/>
  <c r="P18" i="14"/>
  <c r="P13" i="14"/>
  <c r="P12" i="14"/>
  <c r="J60" i="18"/>
  <c r="I60" i="18"/>
  <c r="H60" i="18"/>
  <c r="G60" i="18"/>
  <c r="J58" i="18"/>
  <c r="I58" i="18"/>
  <c r="H58" i="18"/>
  <c r="F12" i="19" s="1"/>
  <c r="G58" i="18"/>
  <c r="E12" i="19" s="1"/>
  <c r="M17" i="18"/>
  <c r="N17" i="18"/>
  <c r="O17" i="18"/>
  <c r="P17" i="18"/>
  <c r="Q17" i="18"/>
  <c r="Q13" i="18"/>
  <c r="P13" i="18"/>
  <c r="O13" i="18"/>
  <c r="N13" i="18"/>
  <c r="M13" i="18"/>
  <c r="I9" i="18"/>
  <c r="H9" i="18"/>
  <c r="G9" i="18"/>
  <c r="J24" i="17"/>
  <c r="J25" i="17"/>
  <c r="L4" i="19"/>
  <c r="M4" i="19" s="1"/>
  <c r="N4" i="19" s="1"/>
  <c r="O4" i="19" s="1"/>
  <c r="H41" i="19"/>
  <c r="I41" i="19" s="1"/>
  <c r="J41" i="19" s="1"/>
  <c r="G41" i="19"/>
  <c r="F41" i="19"/>
  <c r="E41" i="19"/>
  <c r="H27" i="19"/>
  <c r="I27" i="19" s="1"/>
  <c r="J27" i="19" s="1"/>
  <c r="G27" i="19"/>
  <c r="F27" i="19"/>
  <c r="E27" i="19"/>
  <c r="H14" i="19"/>
  <c r="G14" i="19"/>
  <c r="F14" i="19"/>
  <c r="E14" i="19"/>
  <c r="H24" i="19"/>
  <c r="I24" i="19" s="1"/>
  <c r="G24" i="19"/>
  <c r="F24" i="19"/>
  <c r="E24" i="19"/>
  <c r="H31" i="19"/>
  <c r="I31" i="19" s="1"/>
  <c r="J31" i="19" s="1"/>
  <c r="G31" i="19"/>
  <c r="F31" i="19"/>
  <c r="E31" i="19"/>
  <c r="H35" i="19"/>
  <c r="I35" i="19" s="1"/>
  <c r="J35" i="19" s="1"/>
  <c r="G35" i="19"/>
  <c r="F35" i="19"/>
  <c r="E35" i="19"/>
  <c r="H37" i="19"/>
  <c r="I37" i="19" s="1"/>
  <c r="J37" i="19" s="1"/>
  <c r="G37" i="19"/>
  <c r="F37" i="19"/>
  <c r="E37" i="19"/>
  <c r="H29" i="19"/>
  <c r="G29" i="19"/>
  <c r="F29" i="19"/>
  <c r="E29" i="19"/>
  <c r="H55" i="19"/>
  <c r="I55" i="19" s="1"/>
  <c r="J55" i="19" s="1"/>
  <c r="G55" i="19"/>
  <c r="F55" i="19"/>
  <c r="E55" i="19"/>
  <c r="H53" i="19"/>
  <c r="I53" i="19" s="1"/>
  <c r="J53" i="19" s="1"/>
  <c r="G53" i="19"/>
  <c r="F53" i="19"/>
  <c r="E53" i="19"/>
  <c r="H39" i="19"/>
  <c r="I39" i="19" s="1"/>
  <c r="J39" i="19" s="1"/>
  <c r="G39" i="19"/>
  <c r="F39" i="19"/>
  <c r="E39" i="19"/>
  <c r="H51" i="19"/>
  <c r="I51" i="19" s="1"/>
  <c r="J51" i="19" s="1"/>
  <c r="G51" i="19"/>
  <c r="F51" i="19"/>
  <c r="E51" i="19"/>
  <c r="H47" i="19"/>
  <c r="I47" i="19" s="1"/>
  <c r="J47" i="19" s="1"/>
  <c r="K47" i="19" s="1"/>
  <c r="G47" i="19"/>
  <c r="F47" i="19"/>
  <c r="E47" i="19"/>
  <c r="H33" i="19"/>
  <c r="I33" i="19" s="1"/>
  <c r="J33" i="19" s="1"/>
  <c r="G33" i="19"/>
  <c r="F33" i="19"/>
  <c r="E33" i="19"/>
  <c r="H45" i="19"/>
  <c r="G45" i="19"/>
  <c r="F45" i="19"/>
  <c r="E45" i="19"/>
  <c r="H49" i="19"/>
  <c r="I49" i="19" s="1"/>
  <c r="J49" i="19" s="1"/>
  <c r="G49" i="19"/>
  <c r="F49" i="19"/>
  <c r="E49" i="19"/>
  <c r="H21" i="19"/>
  <c r="G21" i="19"/>
  <c r="F21" i="19"/>
  <c r="E21" i="19"/>
  <c r="F31" i="2"/>
  <c r="E31" i="2"/>
  <c r="D31" i="2"/>
  <c r="C31" i="2"/>
  <c r="N4" i="18"/>
  <c r="O4" i="18" s="1"/>
  <c r="P4" i="18" s="1"/>
  <c r="Q4" i="18" s="1"/>
  <c r="J56" i="18"/>
  <c r="K56" i="18" s="1"/>
  <c r="J53" i="18"/>
  <c r="K53" i="18" s="1"/>
  <c r="J49" i="18"/>
  <c r="K49" i="18" s="1"/>
  <c r="J46" i="18"/>
  <c r="K46" i="18" s="1"/>
  <c r="L46" i="18" s="1"/>
  <c r="J126" i="21" s="1"/>
  <c r="K126" i="21" s="1"/>
  <c r="L126" i="21" s="1"/>
  <c r="M126" i="21" s="1"/>
  <c r="N126" i="21" s="1"/>
  <c r="J42" i="18"/>
  <c r="K42" i="18" s="1"/>
  <c r="J39" i="18"/>
  <c r="K39" i="18" s="1"/>
  <c r="J34" i="18"/>
  <c r="K34" i="18" s="1"/>
  <c r="J30" i="18"/>
  <c r="K30" i="18" s="1"/>
  <c r="L30" i="18" s="1"/>
  <c r="J25" i="18"/>
  <c r="K25" i="18" s="1"/>
  <c r="J21" i="18"/>
  <c r="K21" i="18" s="1"/>
  <c r="J16" i="18"/>
  <c r="K16" i="18" s="1"/>
  <c r="J12" i="18"/>
  <c r="K12" i="18" s="1"/>
  <c r="L12" i="18" s="1"/>
  <c r="O13" i="14"/>
  <c r="N13" i="14"/>
  <c r="M13" i="14"/>
  <c r="L13" i="14"/>
  <c r="O12" i="14"/>
  <c r="N12" i="14"/>
  <c r="M12" i="14"/>
  <c r="L12" i="14"/>
  <c r="L7" i="14"/>
  <c r="L6" i="14"/>
  <c r="O19" i="14"/>
  <c r="N19" i="14"/>
  <c r="M19" i="14"/>
  <c r="L19" i="14"/>
  <c r="O18" i="14"/>
  <c r="N18" i="14"/>
  <c r="M18" i="14"/>
  <c r="L18" i="14"/>
  <c r="I6" i="14"/>
  <c r="J6" i="14" s="1"/>
  <c r="K6" i="14" s="1"/>
  <c r="I15" i="14"/>
  <c r="H15" i="14"/>
  <c r="G15" i="14"/>
  <c r="F15" i="14"/>
  <c r="I10" i="14"/>
  <c r="H10" i="14"/>
  <c r="G10" i="14"/>
  <c r="I9" i="14"/>
  <c r="H9" i="14"/>
  <c r="G9" i="14"/>
  <c r="F10" i="14"/>
  <c r="F9" i="14"/>
  <c r="I16" i="14"/>
  <c r="H16" i="14"/>
  <c r="G16" i="14"/>
  <c r="F16" i="14"/>
  <c r="I7" i="14"/>
  <c r="H7" i="14"/>
  <c r="G7" i="14"/>
  <c r="F7" i="14"/>
  <c r="H6" i="14"/>
  <c r="G6" i="14"/>
  <c r="F6" i="14"/>
  <c r="G14" i="14"/>
  <c r="F11" i="14"/>
  <c r="M25" i="12"/>
  <c r="L25" i="12"/>
  <c r="K25" i="12"/>
  <c r="J25" i="12"/>
  <c r="J4" i="12"/>
  <c r="I4" i="12"/>
  <c r="H4" i="12"/>
  <c r="G4" i="12"/>
  <c r="F4" i="12"/>
  <c r="E4" i="12"/>
  <c r="D4" i="12"/>
  <c r="E40" i="12"/>
  <c r="E17" i="19" l="1"/>
  <c r="D12" i="12"/>
  <c r="D13" i="12"/>
  <c r="E18" i="19"/>
  <c r="F17" i="19"/>
  <c r="E12" i="12"/>
  <c r="G17" i="19"/>
  <c r="F12" i="12"/>
  <c r="I8" i="14"/>
  <c r="G12" i="12"/>
  <c r="F18" i="19"/>
  <c r="E13" i="12"/>
  <c r="G18" i="19"/>
  <c r="F13" i="12"/>
  <c r="H18" i="19"/>
  <c r="G13" i="12"/>
  <c r="E19" i="19"/>
  <c r="E7" i="15" s="1"/>
  <c r="E8" i="15"/>
  <c r="F19" i="19"/>
  <c r="F7" i="15" s="1"/>
  <c r="F8" i="15"/>
  <c r="G19" i="19"/>
  <c r="G7" i="15" s="1"/>
  <c r="G8" i="15"/>
  <c r="H19" i="19"/>
  <c r="H7" i="15" s="1"/>
  <c r="H8" i="15"/>
  <c r="E43" i="19"/>
  <c r="F43" i="19"/>
  <c r="G43" i="19"/>
  <c r="G59" i="18"/>
  <c r="E11" i="19"/>
  <c r="G62" i="18"/>
  <c r="G63" i="18" s="1"/>
  <c r="F11" i="19"/>
  <c r="H62" i="18"/>
  <c r="H63" i="18" s="1"/>
  <c r="G11" i="19"/>
  <c r="I62" i="18"/>
  <c r="I63" i="18" s="1"/>
  <c r="I59" i="18"/>
  <c r="G12" i="19"/>
  <c r="K58" i="18"/>
  <c r="H12" i="19"/>
  <c r="G61" i="18"/>
  <c r="E13" i="19"/>
  <c r="H61" i="18"/>
  <c r="F13" i="19"/>
  <c r="I61" i="18"/>
  <c r="G13" i="19"/>
  <c r="H13" i="19"/>
  <c r="K60" i="18"/>
  <c r="I13" i="19" s="1"/>
  <c r="M96" i="21"/>
  <c r="N96" i="21" s="1"/>
  <c r="P6" i="14" s="1"/>
  <c r="N6" i="14"/>
  <c r="M6" i="14"/>
  <c r="P11" i="14"/>
  <c r="P5" i="14"/>
  <c r="N21" i="12" s="1"/>
  <c r="D11" i="12"/>
  <c r="D20" i="12" s="1"/>
  <c r="G11" i="12"/>
  <c r="G20" i="12" s="1"/>
  <c r="F11" i="12"/>
  <c r="F20" i="12" s="1"/>
  <c r="L60" i="18"/>
  <c r="J13" i="19" s="1"/>
  <c r="K49" i="19"/>
  <c r="L47" i="19"/>
  <c r="M47" i="19" s="1"/>
  <c r="K51" i="19"/>
  <c r="K53" i="19"/>
  <c r="K55" i="19"/>
  <c r="I14" i="19"/>
  <c r="J14" i="19" s="1"/>
  <c r="H43" i="19"/>
  <c r="I45" i="19"/>
  <c r="I43" i="19"/>
  <c r="G9" i="19"/>
  <c r="G15" i="19" s="1"/>
  <c r="F9" i="19"/>
  <c r="I29" i="19"/>
  <c r="J24" i="19"/>
  <c r="E9" i="19"/>
  <c r="E16" i="19"/>
  <c r="I21" i="19"/>
  <c r="G16" i="19"/>
  <c r="F16" i="19"/>
  <c r="J9" i="14"/>
  <c r="H12" i="12" s="1"/>
  <c r="M7" i="14"/>
  <c r="O7" i="14"/>
  <c r="H17" i="19"/>
  <c r="H16" i="19" s="1"/>
  <c r="G5" i="14"/>
  <c r="E21" i="12" s="1"/>
  <c r="I14" i="14"/>
  <c r="L5" i="14"/>
  <c r="J21" i="12" s="1"/>
  <c r="N7" i="14"/>
  <c r="N5" i="14" s="1"/>
  <c r="L21" i="12" s="1"/>
  <c r="H59" i="18"/>
  <c r="N46" i="18"/>
  <c r="M46" i="18"/>
  <c r="L16" i="18"/>
  <c r="L25" i="18"/>
  <c r="L34" i="18"/>
  <c r="L42" i="18"/>
  <c r="J123" i="21" s="1"/>
  <c r="K123" i="21" s="1"/>
  <c r="L123" i="21" s="1"/>
  <c r="M123" i="21" s="1"/>
  <c r="N123" i="21" s="1"/>
  <c r="L49" i="18"/>
  <c r="J128" i="21" s="1"/>
  <c r="K128" i="21" s="1"/>
  <c r="L128" i="21" s="1"/>
  <c r="M128" i="21" s="1"/>
  <c r="N128" i="21" s="1"/>
  <c r="L56" i="18"/>
  <c r="J133" i="21" s="1"/>
  <c r="K133" i="21" s="1"/>
  <c r="L133" i="21" s="1"/>
  <c r="M133" i="21" s="1"/>
  <c r="N133" i="21" s="1"/>
  <c r="L21" i="18"/>
  <c r="L39" i="18"/>
  <c r="J121" i="21" s="1"/>
  <c r="K121" i="21" s="1"/>
  <c r="L121" i="21" s="1"/>
  <c r="M121" i="21" s="1"/>
  <c r="N121" i="21" s="1"/>
  <c r="L53" i="18"/>
  <c r="J131" i="21" s="1"/>
  <c r="K131" i="21" s="1"/>
  <c r="L131" i="21" s="1"/>
  <c r="M131" i="21" s="1"/>
  <c r="N131" i="21" s="1"/>
  <c r="J7" i="14"/>
  <c r="J10" i="14"/>
  <c r="H13" i="12" s="1"/>
  <c r="F5" i="14"/>
  <c r="D21" i="12" s="1"/>
  <c r="L11" i="14"/>
  <c r="I5" i="14"/>
  <c r="G21" i="12" s="1"/>
  <c r="G13" i="14"/>
  <c r="I13" i="14"/>
  <c r="G8" i="14"/>
  <c r="I12" i="14"/>
  <c r="N11" i="14"/>
  <c r="F8" i="14"/>
  <c r="G19" i="14"/>
  <c r="M11" i="14"/>
  <c r="O11" i="14"/>
  <c r="F14" i="14"/>
  <c r="H13" i="14"/>
  <c r="H19" i="14" s="1"/>
  <c r="I11" i="14"/>
  <c r="H5" i="14"/>
  <c r="F21" i="12" s="1"/>
  <c r="H12" i="14"/>
  <c r="H8" i="14"/>
  <c r="G12" i="14"/>
  <c r="H14" i="14"/>
  <c r="J5" i="14" l="1"/>
  <c r="H21" i="12" s="1"/>
  <c r="K7" i="14"/>
  <c r="K5" i="14" s="1"/>
  <c r="I21" i="12" s="1"/>
  <c r="H11" i="12"/>
  <c r="H20" i="12" s="1"/>
  <c r="I19" i="19"/>
  <c r="I7" i="15" s="1"/>
  <c r="I8" i="15"/>
  <c r="L58" i="18"/>
  <c r="J12" i="19" s="1"/>
  <c r="I12" i="19"/>
  <c r="E11" i="12"/>
  <c r="E20" i="12" s="1"/>
  <c r="M5" i="14"/>
  <c r="K21" i="12" s="1"/>
  <c r="E57" i="19"/>
  <c r="L49" i="19"/>
  <c r="F15" i="19"/>
  <c r="F57" i="19"/>
  <c r="E15" i="19"/>
  <c r="G57" i="19"/>
  <c r="L55" i="19"/>
  <c r="L53" i="19"/>
  <c r="L51" i="19"/>
  <c r="J45" i="19"/>
  <c r="N47" i="19"/>
  <c r="J29" i="19"/>
  <c r="J21" i="19"/>
  <c r="J8" i="15" s="1"/>
  <c r="K10" i="14"/>
  <c r="I18" i="19"/>
  <c r="O6" i="14"/>
  <c r="O5" i="14" s="1"/>
  <c r="M21" i="12" s="1"/>
  <c r="K9" i="14"/>
  <c r="I17" i="19"/>
  <c r="I16" i="19" s="1"/>
  <c r="J8" i="14"/>
  <c r="M49" i="18"/>
  <c r="N53" i="18"/>
  <c r="M39" i="18"/>
  <c r="M56" i="18"/>
  <c r="M42" i="18"/>
  <c r="M53" i="18"/>
  <c r="O53" i="18"/>
  <c r="O46" i="18"/>
  <c r="J13" i="14"/>
  <c r="K13" i="14" s="1"/>
  <c r="K19" i="14" s="1"/>
  <c r="J12" i="14"/>
  <c r="J15" i="14" s="1"/>
  <c r="J16" i="14"/>
  <c r="K16" i="14" s="1"/>
  <c r="G11" i="14"/>
  <c r="H11" i="14"/>
  <c r="K8" i="14"/>
  <c r="G18" i="14"/>
  <c r="H18" i="14"/>
  <c r="J17" i="19" l="1"/>
  <c r="I12" i="12"/>
  <c r="J18" i="19"/>
  <c r="I13" i="12"/>
  <c r="J16" i="19"/>
  <c r="E58" i="19"/>
  <c r="D7" i="12"/>
  <c r="G58" i="19"/>
  <c r="F7" i="12"/>
  <c r="F58" i="19"/>
  <c r="E7" i="12"/>
  <c r="J19" i="19"/>
  <c r="J7" i="15" s="1"/>
  <c r="M49" i="19"/>
  <c r="K45" i="19"/>
  <c r="J43" i="19"/>
  <c r="M51" i="19"/>
  <c r="M53" i="19"/>
  <c r="M55" i="19"/>
  <c r="O47" i="19"/>
  <c r="K12" i="14"/>
  <c r="N42" i="18"/>
  <c r="N56" i="18"/>
  <c r="N39" i="18"/>
  <c r="N49" i="18"/>
  <c r="Q53" i="18"/>
  <c r="P53" i="18"/>
  <c r="Q46" i="18"/>
  <c r="P46" i="18"/>
  <c r="L10" i="14"/>
  <c r="J13" i="12" s="1"/>
  <c r="K18" i="14"/>
  <c r="K11" i="14"/>
  <c r="J11" i="14"/>
  <c r="K15" i="14"/>
  <c r="J14" i="14"/>
  <c r="K14" i="14"/>
  <c r="I11" i="12" l="1"/>
  <c r="I20" i="12" s="1"/>
  <c r="N55" i="19"/>
  <c r="N53" i="19"/>
  <c r="N51" i="19"/>
  <c r="L45" i="19"/>
  <c r="K43" i="19"/>
  <c r="N49" i="19"/>
  <c r="L16" i="14"/>
  <c r="M10" i="14" s="1"/>
  <c r="K13" i="12" s="1"/>
  <c r="K18" i="19"/>
  <c r="O49" i="18"/>
  <c r="O56" i="18"/>
  <c r="O42" i="18"/>
  <c r="O39" i="18"/>
  <c r="L9" i="14"/>
  <c r="J12" i="12" s="1"/>
  <c r="J11" i="12" s="1"/>
  <c r="J20" i="12" s="1"/>
  <c r="L8" i="14" l="1"/>
  <c r="O49" i="19"/>
  <c r="M45" i="19"/>
  <c r="L43" i="19"/>
  <c r="O51" i="19"/>
  <c r="O53" i="19"/>
  <c r="O55" i="19"/>
  <c r="L15" i="14"/>
  <c r="M9" i="14" s="1"/>
  <c r="K12" i="12" s="1"/>
  <c r="K11" i="12" s="1"/>
  <c r="K20" i="12" s="1"/>
  <c r="K17" i="19"/>
  <c r="K16" i="19" s="1"/>
  <c r="M16" i="14"/>
  <c r="N10" i="14" s="1"/>
  <c r="L13" i="12" s="1"/>
  <c r="L18" i="19"/>
  <c r="Q42" i="18"/>
  <c r="P42" i="18"/>
  <c r="Q56" i="18"/>
  <c r="P56" i="18"/>
  <c r="Q39" i="18"/>
  <c r="P39" i="18"/>
  <c r="P49" i="18"/>
  <c r="Q49" i="18"/>
  <c r="L14" i="14" l="1"/>
  <c r="M43" i="19"/>
  <c r="N45" i="19"/>
  <c r="N16" i="14"/>
  <c r="O10" i="14" s="1"/>
  <c r="M13" i="12" s="1"/>
  <c r="M18" i="19"/>
  <c r="M15" i="14"/>
  <c r="N9" i="14" s="1"/>
  <c r="L12" i="12" s="1"/>
  <c r="L11" i="12" s="1"/>
  <c r="L20" i="12" s="1"/>
  <c r="L17" i="19"/>
  <c r="L16" i="19" s="1"/>
  <c r="M8" i="14"/>
  <c r="O45" i="19" l="1"/>
  <c r="N43" i="19"/>
  <c r="N15" i="14"/>
  <c r="O9" i="14" s="1"/>
  <c r="M12" i="12" s="1"/>
  <c r="M11" i="12" s="1"/>
  <c r="M20" i="12" s="1"/>
  <c r="M17" i="19"/>
  <c r="M16" i="19" s="1"/>
  <c r="O16" i="14"/>
  <c r="N18" i="19"/>
  <c r="M14" i="14"/>
  <c r="P10" i="14" l="1"/>
  <c r="P16" i="14" s="1"/>
  <c r="O43" i="19"/>
  <c r="O15" i="14"/>
  <c r="N17" i="19"/>
  <c r="N16" i="19" s="1"/>
  <c r="N8" i="14"/>
  <c r="P9" i="14" l="1"/>
  <c r="O18" i="19"/>
  <c r="N13" i="12"/>
  <c r="N14" i="14"/>
  <c r="N12" i="12" l="1"/>
  <c r="N11" i="12" s="1"/>
  <c r="N20" i="12" s="1"/>
  <c r="P8" i="14"/>
  <c r="O17" i="19"/>
  <c r="O16" i="19" s="1"/>
  <c r="P15" i="14"/>
  <c r="P14" i="14" s="1"/>
  <c r="O8" i="14"/>
  <c r="O14" i="14"/>
  <c r="L26" i="12" l="1"/>
  <c r="M26" i="12"/>
  <c r="J26" i="12"/>
  <c r="H26" i="12"/>
  <c r="K26" i="12"/>
  <c r="S139" i="4" l="1"/>
  <c r="R139" i="4"/>
  <c r="Q139" i="4"/>
  <c r="P139" i="4"/>
  <c r="O139" i="4"/>
  <c r="S130" i="4"/>
  <c r="R130" i="4"/>
  <c r="Q130" i="4"/>
  <c r="P130" i="4"/>
  <c r="O130" i="4"/>
  <c r="S121" i="4"/>
  <c r="R121" i="4"/>
  <c r="Q121" i="4"/>
  <c r="P121" i="4"/>
  <c r="O121" i="4"/>
  <c r="S112" i="4"/>
  <c r="R112" i="4"/>
  <c r="Q112" i="4"/>
  <c r="P112" i="4"/>
  <c r="O112" i="4"/>
  <c r="S103" i="4"/>
  <c r="R103" i="4"/>
  <c r="Q103" i="4"/>
  <c r="P103" i="4"/>
  <c r="O103" i="4"/>
  <c r="S94" i="4"/>
  <c r="R94" i="4"/>
  <c r="Q94" i="4"/>
  <c r="P94" i="4"/>
  <c r="O94" i="4"/>
  <c r="P19" i="4"/>
  <c r="S85" i="4"/>
  <c r="R85" i="4"/>
  <c r="Q85" i="4"/>
  <c r="P85" i="4"/>
  <c r="O85" i="4"/>
  <c r="S73" i="4"/>
  <c r="R73" i="4"/>
  <c r="Q73" i="4"/>
  <c r="P73" i="4"/>
  <c r="O73" i="4"/>
  <c r="S64" i="4"/>
  <c r="R64" i="4"/>
  <c r="Q64" i="4"/>
  <c r="P64" i="4"/>
  <c r="O64" i="4"/>
  <c r="S55" i="4"/>
  <c r="R55" i="4"/>
  <c r="Q55" i="4"/>
  <c r="P55" i="4"/>
  <c r="O55" i="4"/>
  <c r="S46" i="4"/>
  <c r="R46" i="4"/>
  <c r="Q46" i="4"/>
  <c r="P46" i="4"/>
  <c r="O46" i="4"/>
  <c r="S37" i="4"/>
  <c r="R37" i="4"/>
  <c r="Q37" i="4"/>
  <c r="P37" i="4"/>
  <c r="O37" i="4"/>
  <c r="S28" i="4"/>
  <c r="R28" i="4"/>
  <c r="Q28" i="4"/>
  <c r="P28" i="4"/>
  <c r="O28" i="4"/>
  <c r="S19" i="4"/>
  <c r="R19" i="4"/>
  <c r="Q19" i="4"/>
  <c r="O19" i="4"/>
  <c r="H42" i="9"/>
  <c r="G42" i="9"/>
  <c r="F42" i="9"/>
  <c r="E42" i="9"/>
  <c r="H41" i="9"/>
  <c r="G41" i="9"/>
  <c r="F41" i="9"/>
  <c r="E41" i="9"/>
  <c r="H40" i="9"/>
  <c r="G40" i="9"/>
  <c r="F40" i="9"/>
  <c r="E40" i="9"/>
  <c r="H39" i="9"/>
  <c r="H38" i="9" s="1"/>
  <c r="G39" i="9"/>
  <c r="G38" i="9" s="1"/>
  <c r="F39" i="9"/>
  <c r="F38" i="9" s="1"/>
  <c r="E39" i="9"/>
  <c r="E38" i="9" s="1"/>
  <c r="H37" i="9"/>
  <c r="G37" i="9"/>
  <c r="F37" i="9"/>
  <c r="E37" i="9"/>
  <c r="H36" i="9"/>
  <c r="G36" i="9"/>
  <c r="F36" i="9"/>
  <c r="E36" i="9"/>
  <c r="H35" i="9"/>
  <c r="G35" i="9"/>
  <c r="F35" i="9"/>
  <c r="E35" i="9"/>
  <c r="H34" i="9"/>
  <c r="G34" i="9"/>
  <c r="F34" i="9"/>
  <c r="E34" i="9"/>
  <c r="H33" i="9"/>
  <c r="G33" i="9"/>
  <c r="F33" i="9"/>
  <c r="E33" i="9"/>
  <c r="H32" i="9"/>
  <c r="G32" i="9"/>
  <c r="F32" i="9"/>
  <c r="E32" i="9"/>
  <c r="H31" i="9"/>
  <c r="H30" i="9" s="1"/>
  <c r="G31" i="9"/>
  <c r="G30" i="9" s="1"/>
  <c r="F31" i="9"/>
  <c r="F30" i="9" s="1"/>
  <c r="E31" i="9"/>
  <c r="E30" i="9" s="1"/>
  <c r="H29" i="9"/>
  <c r="G29" i="9"/>
  <c r="F29" i="9"/>
  <c r="E29" i="9"/>
  <c r="H28" i="9"/>
  <c r="G28" i="9"/>
  <c r="F28" i="9"/>
  <c r="E28" i="9"/>
  <c r="H27" i="9"/>
  <c r="G27" i="9"/>
  <c r="F27" i="9"/>
  <c r="E27" i="9"/>
  <c r="H26" i="9"/>
  <c r="G26" i="9"/>
  <c r="F26" i="9"/>
  <c r="E26" i="9"/>
  <c r="H25" i="9"/>
  <c r="H19" i="15" s="1"/>
  <c r="G25" i="9"/>
  <c r="G19" i="15" s="1"/>
  <c r="G20" i="15" s="1"/>
  <c r="F25" i="9"/>
  <c r="F19" i="15" s="1"/>
  <c r="F20" i="15" s="1"/>
  <c r="E25" i="9"/>
  <c r="E19" i="15" s="1"/>
  <c r="H24" i="9"/>
  <c r="G24" i="9"/>
  <c r="F24" i="9"/>
  <c r="E24" i="9"/>
  <c r="H23" i="9"/>
  <c r="G23" i="9"/>
  <c r="F23" i="9"/>
  <c r="E23" i="9"/>
  <c r="H22" i="9"/>
  <c r="G22" i="9"/>
  <c r="F22" i="9"/>
  <c r="E22" i="9"/>
  <c r="H19" i="9"/>
  <c r="G19" i="9"/>
  <c r="F19" i="9"/>
  <c r="E19" i="9"/>
  <c r="H18" i="9"/>
  <c r="G18" i="9"/>
  <c r="F18" i="9"/>
  <c r="E18" i="9"/>
  <c r="H17" i="9"/>
  <c r="G17" i="9"/>
  <c r="F17" i="9"/>
  <c r="E17" i="9"/>
  <c r="H16" i="9"/>
  <c r="G16" i="9"/>
  <c r="F16" i="9"/>
  <c r="E16" i="9"/>
  <c r="H15" i="9"/>
  <c r="G15" i="9"/>
  <c r="F15" i="9"/>
  <c r="E15" i="9"/>
  <c r="H14" i="9"/>
  <c r="H13" i="9" s="1"/>
  <c r="G14" i="9"/>
  <c r="G13" i="9" s="1"/>
  <c r="F14" i="9"/>
  <c r="F13" i="9" s="1"/>
  <c r="E14" i="9"/>
  <c r="E13" i="9" s="1"/>
  <c r="H12" i="9"/>
  <c r="G12" i="9"/>
  <c r="F12" i="9"/>
  <c r="E12" i="9"/>
  <c r="H11" i="9"/>
  <c r="H12" i="15" s="1"/>
  <c r="G11" i="9"/>
  <c r="G12" i="15" s="1"/>
  <c r="G13" i="15" s="1"/>
  <c r="G24" i="15" s="1"/>
  <c r="F11" i="9"/>
  <c r="F12" i="15" s="1"/>
  <c r="F13" i="15" s="1"/>
  <c r="E11" i="9"/>
  <c r="E12" i="15" s="1"/>
  <c r="H10" i="9"/>
  <c r="H14" i="15" s="1"/>
  <c r="I14" i="15" s="1"/>
  <c r="J14" i="15" s="1"/>
  <c r="G10" i="9"/>
  <c r="G14" i="15" s="1"/>
  <c r="F10" i="9"/>
  <c r="F14" i="15" s="1"/>
  <c r="E10" i="9"/>
  <c r="E14" i="15" s="1"/>
  <c r="H9" i="9"/>
  <c r="G9" i="9"/>
  <c r="F9" i="9"/>
  <c r="E9" i="9"/>
  <c r="H8" i="9"/>
  <c r="G8" i="9"/>
  <c r="F8" i="9"/>
  <c r="E8" i="9"/>
  <c r="H7" i="9"/>
  <c r="H10" i="15" s="1"/>
  <c r="G7" i="9"/>
  <c r="G10" i="15" s="1"/>
  <c r="G9" i="15" s="1"/>
  <c r="F7" i="9"/>
  <c r="F10" i="15" s="1"/>
  <c r="F9" i="15" s="1"/>
  <c r="E7" i="9"/>
  <c r="E10" i="15" s="1"/>
  <c r="E9" i="15" s="1"/>
  <c r="H6" i="9"/>
  <c r="H5" i="9" s="1"/>
  <c r="H4" i="9" s="1"/>
  <c r="G6" i="9"/>
  <c r="G5" i="9" s="1"/>
  <c r="G4" i="9" s="1"/>
  <c r="F6" i="9"/>
  <c r="F5" i="9" s="1"/>
  <c r="F4" i="9" s="1"/>
  <c r="E6" i="9"/>
  <c r="E5" i="9" s="1"/>
  <c r="E4" i="9" s="1"/>
  <c r="P4" i="4"/>
  <c r="I47" i="7"/>
  <c r="G12" i="8" s="1"/>
  <c r="H47" i="7"/>
  <c r="F12" i="8" s="1"/>
  <c r="G47" i="7"/>
  <c r="E12" i="8" s="1"/>
  <c r="F47" i="7"/>
  <c r="D12" i="8" s="1"/>
  <c r="M45" i="7"/>
  <c r="L45" i="7"/>
  <c r="K45" i="7"/>
  <c r="J45" i="7"/>
  <c r="I45" i="7"/>
  <c r="G10" i="8" s="1"/>
  <c r="H45" i="7"/>
  <c r="G45" i="7"/>
  <c r="E10" i="8" s="1"/>
  <c r="F45" i="7"/>
  <c r="E45" i="7"/>
  <c r="D45" i="7"/>
  <c r="C45" i="7"/>
  <c r="I42" i="7"/>
  <c r="G7" i="8" s="1"/>
  <c r="H42" i="7"/>
  <c r="F7" i="8" s="1"/>
  <c r="G42" i="7"/>
  <c r="E7" i="8" s="1"/>
  <c r="F42" i="7"/>
  <c r="D7" i="8" s="1"/>
  <c r="M40" i="7"/>
  <c r="L40" i="7"/>
  <c r="K40" i="7"/>
  <c r="J40" i="7"/>
  <c r="I40" i="7"/>
  <c r="H40" i="7"/>
  <c r="F5" i="8" s="1"/>
  <c r="G40" i="7"/>
  <c r="F40" i="7"/>
  <c r="D5" i="8" s="1"/>
  <c r="E40" i="7"/>
  <c r="D40" i="7"/>
  <c r="C40" i="7"/>
  <c r="D41" i="7" s="1"/>
  <c r="L158" i="4"/>
  <c r="M158" i="4" s="1"/>
  <c r="N158" i="4" s="1"/>
  <c r="K158" i="4"/>
  <c r="J158" i="4"/>
  <c r="I158" i="4"/>
  <c r="L150" i="4"/>
  <c r="M150" i="4" s="1"/>
  <c r="N150" i="4" s="1"/>
  <c r="O150" i="4" s="1"/>
  <c r="K150" i="4"/>
  <c r="J150" i="4"/>
  <c r="L148" i="4"/>
  <c r="K148" i="4"/>
  <c r="G8" i="19" s="1"/>
  <c r="J148" i="4"/>
  <c r="F8" i="19" s="1"/>
  <c r="I150" i="4"/>
  <c r="I148" i="4"/>
  <c r="E8" i="19" s="1"/>
  <c r="L156" i="4"/>
  <c r="M156" i="4" s="1"/>
  <c r="K156" i="4"/>
  <c r="J156" i="4"/>
  <c r="L154" i="4"/>
  <c r="M154" i="4" s="1"/>
  <c r="N154" i="4" s="1"/>
  <c r="K154" i="4"/>
  <c r="J154" i="4"/>
  <c r="I156" i="4"/>
  <c r="I154" i="4"/>
  <c r="L144" i="4"/>
  <c r="M144" i="4" s="1"/>
  <c r="N144" i="4" s="1"/>
  <c r="K144" i="4"/>
  <c r="J144" i="4"/>
  <c r="L142" i="4"/>
  <c r="M142" i="4" s="1"/>
  <c r="K142" i="4"/>
  <c r="J142" i="4"/>
  <c r="I144" i="4"/>
  <c r="I142" i="4"/>
  <c r="M10" i="3"/>
  <c r="L10" i="3"/>
  <c r="K10" i="3"/>
  <c r="J10" i="3"/>
  <c r="J20" i="3"/>
  <c r="K20" i="3"/>
  <c r="L20" i="3"/>
  <c r="M20" i="3"/>
  <c r="M18" i="3"/>
  <c r="L18" i="3"/>
  <c r="K18" i="3"/>
  <c r="J18" i="3"/>
  <c r="M19" i="3"/>
  <c r="L19" i="3"/>
  <c r="K19" i="3"/>
  <c r="J19" i="3"/>
  <c r="N31" i="3"/>
  <c r="N30" i="3"/>
  <c r="N29" i="3"/>
  <c r="N28" i="3"/>
  <c r="N27" i="3"/>
  <c r="N26" i="3"/>
  <c r="M31" i="3"/>
  <c r="M30" i="3"/>
  <c r="M29" i="3"/>
  <c r="M28" i="3"/>
  <c r="M27" i="3"/>
  <c r="M26" i="3"/>
  <c r="L31" i="3"/>
  <c r="L30" i="3"/>
  <c r="L29" i="3"/>
  <c r="L28" i="3"/>
  <c r="L27" i="3"/>
  <c r="L26" i="3"/>
  <c r="K31" i="3"/>
  <c r="K30" i="3"/>
  <c r="K29" i="3"/>
  <c r="K28" i="3"/>
  <c r="K27" i="3"/>
  <c r="K26" i="3"/>
  <c r="G31" i="3"/>
  <c r="G30" i="3"/>
  <c r="G29" i="3"/>
  <c r="G28" i="3"/>
  <c r="G27" i="3"/>
  <c r="G26" i="3"/>
  <c r="F31" i="3"/>
  <c r="F30" i="3"/>
  <c r="F29" i="3"/>
  <c r="F28" i="3"/>
  <c r="F27" i="3"/>
  <c r="F26" i="3"/>
  <c r="E31" i="3"/>
  <c r="E30" i="3"/>
  <c r="E29" i="3"/>
  <c r="E28" i="3"/>
  <c r="E27" i="3"/>
  <c r="E26" i="3"/>
  <c r="D31" i="3"/>
  <c r="D30" i="3"/>
  <c r="D29" i="3"/>
  <c r="D28" i="3"/>
  <c r="D27" i="3"/>
  <c r="D26" i="3"/>
  <c r="F75" i="2"/>
  <c r="E75" i="2"/>
  <c r="D75" i="2"/>
  <c r="C75" i="2"/>
  <c r="F103" i="2"/>
  <c r="E103" i="2"/>
  <c r="D103" i="2"/>
  <c r="C103" i="2"/>
  <c r="F102" i="2"/>
  <c r="E102" i="2"/>
  <c r="D102" i="2"/>
  <c r="C102" i="2"/>
  <c r="F101" i="2"/>
  <c r="E101" i="2"/>
  <c r="D101" i="2"/>
  <c r="C101" i="2"/>
  <c r="F100" i="2"/>
  <c r="E100" i="2"/>
  <c r="D100" i="2"/>
  <c r="C100" i="2"/>
  <c r="F99" i="2"/>
  <c r="E99" i="2"/>
  <c r="D99" i="2"/>
  <c r="C99" i="2"/>
  <c r="F84" i="2"/>
  <c r="E84" i="2"/>
  <c r="D84" i="2"/>
  <c r="C84" i="2"/>
  <c r="F83" i="2"/>
  <c r="E83" i="2"/>
  <c r="D83" i="2"/>
  <c r="C83" i="2"/>
  <c r="F78" i="2"/>
  <c r="F71" i="2"/>
  <c r="F98" i="2" s="1"/>
  <c r="F70" i="2"/>
  <c r="F97" i="2" s="1"/>
  <c r="F69" i="2"/>
  <c r="F96" i="2" s="1"/>
  <c r="F68" i="2"/>
  <c r="F95" i="2" s="1"/>
  <c r="F67" i="2"/>
  <c r="F94" i="2" s="1"/>
  <c r="F66" i="2"/>
  <c r="F93" i="2" s="1"/>
  <c r="F65" i="2"/>
  <c r="F92" i="2" s="1"/>
  <c r="F64" i="2"/>
  <c r="F91" i="2" s="1"/>
  <c r="F63" i="2"/>
  <c r="F90" i="2" s="1"/>
  <c r="F62" i="2"/>
  <c r="F89" i="2" s="1"/>
  <c r="F61" i="2"/>
  <c r="F88" i="2" s="1"/>
  <c r="F60" i="2"/>
  <c r="F87" i="2" s="1"/>
  <c r="F59" i="2"/>
  <c r="F86" i="2" s="1"/>
  <c r="F58" i="2"/>
  <c r="E78" i="2"/>
  <c r="E105" i="2" s="1"/>
  <c r="E71" i="2"/>
  <c r="E98" i="2" s="1"/>
  <c r="E70" i="2"/>
  <c r="E97" i="2" s="1"/>
  <c r="E69" i="2"/>
  <c r="E96" i="2" s="1"/>
  <c r="E68" i="2"/>
  <c r="E95" i="2" s="1"/>
  <c r="E67" i="2"/>
  <c r="E94" i="2" s="1"/>
  <c r="E66" i="2"/>
  <c r="E93" i="2" s="1"/>
  <c r="E65" i="2"/>
  <c r="E92" i="2" s="1"/>
  <c r="E64" i="2"/>
  <c r="E91" i="2" s="1"/>
  <c r="E63" i="2"/>
  <c r="E90" i="2" s="1"/>
  <c r="E62" i="2"/>
  <c r="E89" i="2" s="1"/>
  <c r="E61" i="2"/>
  <c r="E88" i="2" s="1"/>
  <c r="E60" i="2"/>
  <c r="E87" i="2" s="1"/>
  <c r="E59" i="2"/>
  <c r="E86" i="2" s="1"/>
  <c r="E58" i="2"/>
  <c r="D78" i="2"/>
  <c r="D105" i="2" s="1"/>
  <c r="D71" i="2"/>
  <c r="D98" i="2" s="1"/>
  <c r="D70" i="2"/>
  <c r="D97" i="2" s="1"/>
  <c r="D69" i="2"/>
  <c r="D96" i="2" s="1"/>
  <c r="D68" i="2"/>
  <c r="D95" i="2" s="1"/>
  <c r="D67" i="2"/>
  <c r="D94" i="2" s="1"/>
  <c r="D66" i="2"/>
  <c r="D93" i="2" s="1"/>
  <c r="D65" i="2"/>
  <c r="D92" i="2" s="1"/>
  <c r="D64" i="2"/>
  <c r="D91" i="2" s="1"/>
  <c r="D63" i="2"/>
  <c r="D90" i="2" s="1"/>
  <c r="D62" i="2"/>
  <c r="D89" i="2" s="1"/>
  <c r="D61" i="2"/>
  <c r="D88" i="2" s="1"/>
  <c r="D60" i="2"/>
  <c r="D87" i="2" s="1"/>
  <c r="D59" i="2"/>
  <c r="D86" i="2" s="1"/>
  <c r="D58" i="2"/>
  <c r="C78" i="2"/>
  <c r="C105" i="2" s="1"/>
  <c r="C71" i="2"/>
  <c r="C98" i="2" s="1"/>
  <c r="C70" i="2"/>
  <c r="C97" i="2" s="1"/>
  <c r="C69" i="2"/>
  <c r="C96" i="2" s="1"/>
  <c r="C68" i="2"/>
  <c r="C95" i="2" s="1"/>
  <c r="C67" i="2"/>
  <c r="C94" i="2" s="1"/>
  <c r="C66" i="2"/>
  <c r="C93" i="2" s="1"/>
  <c r="C65" i="2"/>
  <c r="C92" i="2" s="1"/>
  <c r="C64" i="2"/>
  <c r="C91" i="2" s="1"/>
  <c r="C63" i="2"/>
  <c r="C90" i="2" s="1"/>
  <c r="C62" i="2"/>
  <c r="C89" i="2" s="1"/>
  <c r="C61" i="2"/>
  <c r="C88" i="2" s="1"/>
  <c r="C60" i="2"/>
  <c r="C87" i="2" s="1"/>
  <c r="C59" i="2"/>
  <c r="C86" i="2" s="1"/>
  <c r="C58" i="2"/>
  <c r="C85" i="2" s="1"/>
  <c r="F28" i="2"/>
  <c r="F105" i="2" s="1"/>
  <c r="E41" i="7" l="1"/>
  <c r="G41" i="7"/>
  <c r="E5" i="8"/>
  <c r="I41" i="7"/>
  <c r="G5" i="8"/>
  <c r="K41" i="7"/>
  <c r="M41" i="7"/>
  <c r="D46" i="7"/>
  <c r="F46" i="7"/>
  <c r="D10" i="8"/>
  <c r="H48" i="7"/>
  <c r="F10" i="8"/>
  <c r="J46" i="7"/>
  <c r="L46" i="7"/>
  <c r="H9" i="15"/>
  <c r="I10" i="15"/>
  <c r="F24" i="15"/>
  <c r="I12" i="15"/>
  <c r="H13" i="15"/>
  <c r="H24" i="15" s="1"/>
  <c r="E21" i="9"/>
  <c r="E20" i="9" s="1"/>
  <c r="E17" i="15"/>
  <c r="E16" i="15" s="1"/>
  <c r="E21" i="15" s="1"/>
  <c r="F21" i="9"/>
  <c r="F20" i="9" s="1"/>
  <c r="F17" i="15"/>
  <c r="G21" i="9"/>
  <c r="G20" i="9" s="1"/>
  <c r="G17" i="15"/>
  <c r="H21" i="9"/>
  <c r="H20" i="9" s="1"/>
  <c r="H17" i="15"/>
  <c r="E38" i="12"/>
  <c r="I19" i="15"/>
  <c r="H20" i="15"/>
  <c r="M148" i="4"/>
  <c r="I8" i="19" s="1"/>
  <c r="I28" i="19" s="1"/>
  <c r="H8" i="19"/>
  <c r="H28" i="19" s="1"/>
  <c r="N148" i="4"/>
  <c r="N146" i="4" s="1"/>
  <c r="L8" i="18" s="1"/>
  <c r="Q4" i="4"/>
  <c r="K4" i="12"/>
  <c r="N145" i="4"/>
  <c r="O144" i="4"/>
  <c r="O151" i="4"/>
  <c r="P150" i="4"/>
  <c r="M140" i="4"/>
  <c r="K7" i="18" s="1"/>
  <c r="N142" i="4"/>
  <c r="O142" i="4" s="1"/>
  <c r="M152" i="4"/>
  <c r="N156" i="4"/>
  <c r="N152" i="4" s="1"/>
  <c r="E6" i="8"/>
  <c r="G6" i="8"/>
  <c r="E11" i="8"/>
  <c r="G11" i="8"/>
  <c r="D6" i="8"/>
  <c r="F6" i="8"/>
  <c r="D11" i="8"/>
  <c r="F11" i="8"/>
  <c r="J152" i="4"/>
  <c r="E16" i="8" s="1"/>
  <c r="L152" i="4"/>
  <c r="G16" i="8" s="1"/>
  <c r="E46" i="7"/>
  <c r="G46" i="7"/>
  <c r="I46" i="7"/>
  <c r="K46" i="7"/>
  <c r="M46" i="7"/>
  <c r="F41" i="7"/>
  <c r="H41" i="7"/>
  <c r="J41" i="7"/>
  <c r="L41" i="7"/>
  <c r="H46" i="7"/>
  <c r="F43" i="7"/>
  <c r="H43" i="7"/>
  <c r="G48" i="7"/>
  <c r="G43" i="7"/>
  <c r="I43" i="7"/>
  <c r="F48" i="7"/>
  <c r="I48" i="7"/>
  <c r="I152" i="4"/>
  <c r="D16" i="8" s="1"/>
  <c r="K152" i="4"/>
  <c r="I140" i="4"/>
  <c r="J140" i="4"/>
  <c r="L140" i="4"/>
  <c r="K140" i="4"/>
  <c r="I146" i="4"/>
  <c r="J146" i="4"/>
  <c r="L146" i="4"/>
  <c r="K146" i="4"/>
  <c r="K143" i="4"/>
  <c r="J145" i="4"/>
  <c r="L145" i="4"/>
  <c r="M145" i="4" s="1"/>
  <c r="K141" i="4"/>
  <c r="J143" i="4"/>
  <c r="L143" i="4"/>
  <c r="M143" i="4" s="1"/>
  <c r="K145" i="4"/>
  <c r="L52" i="3"/>
  <c r="J124" i="4" s="1"/>
  <c r="N52" i="3"/>
  <c r="L124" i="4" s="1"/>
  <c r="M124" i="4" s="1"/>
  <c r="N124" i="4" s="1"/>
  <c r="O124" i="4" s="1"/>
  <c r="E48" i="3"/>
  <c r="J22" i="4" s="1"/>
  <c r="G52" i="3"/>
  <c r="L58" i="4" s="1"/>
  <c r="M58" i="4" s="1"/>
  <c r="N58" i="4" s="1"/>
  <c r="E51" i="3"/>
  <c r="J49" i="4" s="1"/>
  <c r="L49" i="3"/>
  <c r="J97" i="4" s="1"/>
  <c r="E40" i="3"/>
  <c r="J51" i="4" s="1"/>
  <c r="L38" i="3"/>
  <c r="J99" i="4" s="1"/>
  <c r="E49" i="3"/>
  <c r="J31" i="4" s="1"/>
  <c r="L47" i="3"/>
  <c r="J79" i="4" s="1"/>
  <c r="L51" i="3"/>
  <c r="J115" i="4" s="1"/>
  <c r="E50" i="3"/>
  <c r="J40" i="4" s="1"/>
  <c r="E52" i="3"/>
  <c r="J58" i="4" s="1"/>
  <c r="L48" i="3"/>
  <c r="J88" i="4" s="1"/>
  <c r="L50" i="3"/>
  <c r="J106" i="4" s="1"/>
  <c r="K52" i="3"/>
  <c r="I124" i="4" s="1"/>
  <c r="K51" i="3"/>
  <c r="I115" i="4" s="1"/>
  <c r="K50" i="3"/>
  <c r="I106" i="4" s="1"/>
  <c r="K49" i="3"/>
  <c r="I97" i="4" s="1"/>
  <c r="K48" i="3"/>
  <c r="I88" i="4" s="1"/>
  <c r="K47" i="3"/>
  <c r="I79" i="4" s="1"/>
  <c r="M52" i="3"/>
  <c r="K124" i="4" s="1"/>
  <c r="M51" i="3"/>
  <c r="K115" i="4" s="1"/>
  <c r="M50" i="3"/>
  <c r="K106" i="4" s="1"/>
  <c r="M49" i="3"/>
  <c r="K97" i="4" s="1"/>
  <c r="M48" i="3"/>
  <c r="K88" i="4" s="1"/>
  <c r="K89" i="4" s="1"/>
  <c r="M47" i="3"/>
  <c r="K79" i="4" s="1"/>
  <c r="D52" i="3"/>
  <c r="I58" i="4" s="1"/>
  <c r="D51" i="3"/>
  <c r="I49" i="4" s="1"/>
  <c r="D50" i="3"/>
  <c r="I40" i="4" s="1"/>
  <c r="D49" i="3"/>
  <c r="I31" i="4" s="1"/>
  <c r="F52" i="3"/>
  <c r="K58" i="4" s="1"/>
  <c r="F51" i="3"/>
  <c r="K49" i="4" s="1"/>
  <c r="K50" i="4" s="1"/>
  <c r="F50" i="3"/>
  <c r="K40" i="4" s="1"/>
  <c r="K41" i="4" s="1"/>
  <c r="F49" i="3"/>
  <c r="K31" i="4" s="1"/>
  <c r="K32" i="4" s="1"/>
  <c r="D47" i="3"/>
  <c r="I13" i="4" s="1"/>
  <c r="F47" i="3"/>
  <c r="K13" i="4" s="1"/>
  <c r="D48" i="3"/>
  <c r="I22" i="4" s="1"/>
  <c r="F48" i="3"/>
  <c r="K22" i="4" s="1"/>
  <c r="K23" i="4" s="1"/>
  <c r="E37" i="3"/>
  <c r="J24" i="4" s="1"/>
  <c r="L41" i="3"/>
  <c r="J126" i="4" s="1"/>
  <c r="E47" i="3"/>
  <c r="J13" i="4" s="1"/>
  <c r="J14" i="4" s="1"/>
  <c r="G47" i="3"/>
  <c r="L13" i="4" s="1"/>
  <c r="M13" i="4" s="1"/>
  <c r="N13" i="4" s="1"/>
  <c r="O13" i="4" s="1"/>
  <c r="G48" i="3"/>
  <c r="L22" i="4" s="1"/>
  <c r="M22" i="4" s="1"/>
  <c r="N22" i="4" s="1"/>
  <c r="G49" i="3"/>
  <c r="L31" i="4" s="1"/>
  <c r="M31" i="4" s="1"/>
  <c r="N31" i="4" s="1"/>
  <c r="N32" i="4" s="1"/>
  <c r="G50" i="3"/>
  <c r="L40" i="4" s="1"/>
  <c r="M40" i="4" s="1"/>
  <c r="N40" i="4" s="1"/>
  <c r="N41" i="4" s="1"/>
  <c r="G51" i="3"/>
  <c r="L49" i="4" s="1"/>
  <c r="M49" i="4" s="1"/>
  <c r="N49" i="4" s="1"/>
  <c r="N50" i="4" s="1"/>
  <c r="N47" i="3"/>
  <c r="L79" i="4" s="1"/>
  <c r="M79" i="4" s="1"/>
  <c r="N79" i="4" s="1"/>
  <c r="N48" i="3"/>
  <c r="L88" i="4" s="1"/>
  <c r="M88" i="4" s="1"/>
  <c r="N88" i="4" s="1"/>
  <c r="O88" i="4" s="1"/>
  <c r="N49" i="3"/>
  <c r="L97" i="4" s="1"/>
  <c r="M97" i="4" s="1"/>
  <c r="N97" i="4" s="1"/>
  <c r="N50" i="3"/>
  <c r="L106" i="4" s="1"/>
  <c r="M106" i="4" s="1"/>
  <c r="N106" i="4" s="1"/>
  <c r="O106" i="4" s="1"/>
  <c r="N51" i="3"/>
  <c r="L115" i="4" s="1"/>
  <c r="M115" i="4" s="1"/>
  <c r="N115" i="4" s="1"/>
  <c r="K32" i="3"/>
  <c r="L32" i="3"/>
  <c r="M32" i="3"/>
  <c r="N32" i="3"/>
  <c r="D32" i="3"/>
  <c r="E32" i="3"/>
  <c r="F32" i="3"/>
  <c r="G32" i="3"/>
  <c r="E77" i="2"/>
  <c r="E104" i="2" s="1"/>
  <c r="E85" i="2"/>
  <c r="D77" i="2"/>
  <c r="D104" i="2" s="1"/>
  <c r="F77" i="2"/>
  <c r="F104" i="2" s="1"/>
  <c r="D85" i="2"/>
  <c r="F85" i="2"/>
  <c r="C77" i="2"/>
  <c r="C104" i="2" s="1"/>
  <c r="L139" i="4" l="1"/>
  <c r="M139" i="4" s="1"/>
  <c r="N139" i="4" s="1"/>
  <c r="L130" i="4"/>
  <c r="M130" i="4" s="1"/>
  <c r="N130" i="4" s="1"/>
  <c r="L121" i="4"/>
  <c r="M121" i="4" s="1"/>
  <c r="N121" i="4" s="1"/>
  <c r="L112" i="4"/>
  <c r="M112" i="4" s="1"/>
  <c r="N112" i="4" s="1"/>
  <c r="L103" i="4"/>
  <c r="M103" i="4" s="1"/>
  <c r="N103" i="4" s="1"/>
  <c r="L94" i="4"/>
  <c r="M94" i="4" s="1"/>
  <c r="N94" i="4" s="1"/>
  <c r="L85" i="4"/>
  <c r="M85" i="4" s="1"/>
  <c r="N85" i="4" s="1"/>
  <c r="I139" i="4"/>
  <c r="I130" i="4"/>
  <c r="I121" i="4"/>
  <c r="I112" i="4"/>
  <c r="I103" i="4"/>
  <c r="I94" i="4"/>
  <c r="I85" i="4"/>
  <c r="L73" i="4"/>
  <c r="M73" i="4" s="1"/>
  <c r="N73" i="4" s="1"/>
  <c r="L64" i="4"/>
  <c r="M64" i="4" s="1"/>
  <c r="N64" i="4" s="1"/>
  <c r="L55" i="4"/>
  <c r="M55" i="4" s="1"/>
  <c r="N55" i="4" s="1"/>
  <c r="L46" i="4"/>
  <c r="M46" i="4" s="1"/>
  <c r="N46" i="4" s="1"/>
  <c r="L37" i="4"/>
  <c r="M37" i="4" s="1"/>
  <c r="N37" i="4" s="1"/>
  <c r="L28" i="4"/>
  <c r="M28" i="4" s="1"/>
  <c r="N28" i="4" s="1"/>
  <c r="L19" i="4"/>
  <c r="M19" i="4" s="1"/>
  <c r="N19" i="4" s="1"/>
  <c r="J73" i="4"/>
  <c r="J64" i="4"/>
  <c r="J55" i="4"/>
  <c r="J46" i="4"/>
  <c r="J37" i="4"/>
  <c r="J28" i="4"/>
  <c r="J26" i="4" s="1"/>
  <c r="J19" i="4"/>
  <c r="J139" i="4"/>
  <c r="J130" i="4"/>
  <c r="J121" i="4"/>
  <c r="J112" i="4"/>
  <c r="J103" i="4"/>
  <c r="J94" i="4"/>
  <c r="J85" i="4"/>
  <c r="K73" i="4"/>
  <c r="K64" i="4"/>
  <c r="K55" i="4"/>
  <c r="K46" i="4"/>
  <c r="K37" i="4"/>
  <c r="K28" i="4"/>
  <c r="K19" i="4"/>
  <c r="I73" i="4"/>
  <c r="I64" i="4"/>
  <c r="I55" i="4"/>
  <c r="I46" i="4"/>
  <c r="I37" i="4"/>
  <c r="I28" i="4"/>
  <c r="I19" i="4"/>
  <c r="J19" i="15"/>
  <c r="J20" i="15" s="1"/>
  <c r="J145" i="21" s="1"/>
  <c r="K145" i="21" s="1"/>
  <c r="L145" i="21" s="1"/>
  <c r="M145" i="21" s="1"/>
  <c r="N145" i="21" s="1"/>
  <c r="I20" i="15"/>
  <c r="H16" i="15"/>
  <c r="I17" i="15"/>
  <c r="H18" i="15"/>
  <c r="H25" i="15" s="1"/>
  <c r="G18" i="15"/>
  <c r="G25" i="15" s="1"/>
  <c r="G16" i="15"/>
  <c r="G21" i="15" s="1"/>
  <c r="F16" i="15"/>
  <c r="F21" i="15" s="1"/>
  <c r="F22" i="15" s="1"/>
  <c r="E22" i="12" s="1"/>
  <c r="F18" i="15"/>
  <c r="F25" i="15" s="1"/>
  <c r="J12" i="15"/>
  <c r="J13" i="15" s="1"/>
  <c r="I13" i="15"/>
  <c r="I24" i="15" s="1"/>
  <c r="I9" i="15"/>
  <c r="J10" i="15"/>
  <c r="J9" i="15" s="1"/>
  <c r="H21" i="15"/>
  <c r="H22" i="15" s="1"/>
  <c r="G22" i="12" s="1"/>
  <c r="K139" i="4"/>
  <c r="K130" i="4"/>
  <c r="K121" i="4"/>
  <c r="K112" i="4"/>
  <c r="K103" i="4"/>
  <c r="K94" i="4"/>
  <c r="K85" i="4"/>
  <c r="K26" i="18"/>
  <c r="K22" i="18"/>
  <c r="L31" i="18"/>
  <c r="J116" i="21" s="1"/>
  <c r="K116" i="21" s="1"/>
  <c r="L116" i="21" s="1"/>
  <c r="M116" i="21" s="1"/>
  <c r="N116" i="21" s="1"/>
  <c r="L35" i="18"/>
  <c r="J118" i="21" s="1"/>
  <c r="K118" i="21" s="1"/>
  <c r="L118" i="21" s="1"/>
  <c r="M118" i="21" s="1"/>
  <c r="N118" i="21" s="1"/>
  <c r="N116" i="4"/>
  <c r="N98" i="4"/>
  <c r="N80" i="4"/>
  <c r="N23" i="4"/>
  <c r="N59" i="4"/>
  <c r="M146" i="4"/>
  <c r="K8" i="18" s="1"/>
  <c r="G15" i="8"/>
  <c r="J8" i="18"/>
  <c r="D15" i="8"/>
  <c r="G8" i="18"/>
  <c r="G14" i="8"/>
  <c r="J7" i="18"/>
  <c r="D14" i="8"/>
  <c r="G7" i="18"/>
  <c r="F15" i="8"/>
  <c r="I8" i="18"/>
  <c r="E15" i="8"/>
  <c r="D30" i="8" s="1"/>
  <c r="H8" i="18"/>
  <c r="F14" i="8"/>
  <c r="I7" i="18"/>
  <c r="E14" i="8"/>
  <c r="D29" i="8" s="1"/>
  <c r="H7" i="18"/>
  <c r="O148" i="4"/>
  <c r="J8" i="19"/>
  <c r="J28" i="19" s="1"/>
  <c r="J76" i="21" s="1"/>
  <c r="K76" i="21" s="1"/>
  <c r="L76" i="21" s="1"/>
  <c r="M76" i="21" s="1"/>
  <c r="N76" i="21" s="1"/>
  <c r="R4" i="4"/>
  <c r="L4" i="12"/>
  <c r="P142" i="4"/>
  <c r="O140" i="4"/>
  <c r="M7" i="18" s="1"/>
  <c r="O143" i="4"/>
  <c r="Q150" i="4"/>
  <c r="P151" i="4"/>
  <c r="P144" i="4"/>
  <c r="O145" i="4"/>
  <c r="O49" i="4"/>
  <c r="O50" i="4" s="1"/>
  <c r="O31" i="4"/>
  <c r="O32" i="4" s="1"/>
  <c r="N14" i="4"/>
  <c r="O22" i="4"/>
  <c r="O58" i="4"/>
  <c r="O59" i="4" s="1"/>
  <c r="O40" i="4"/>
  <c r="O41" i="4" s="1"/>
  <c r="O115" i="4"/>
  <c r="P115" i="4" s="1"/>
  <c r="O79" i="4"/>
  <c r="O80" i="4" s="1"/>
  <c r="N125" i="4"/>
  <c r="N107" i="4"/>
  <c r="N89" i="4"/>
  <c r="O97" i="4"/>
  <c r="O98" i="4" s="1"/>
  <c r="P79" i="4"/>
  <c r="N153" i="4"/>
  <c r="O125" i="4"/>
  <c r="P124" i="4"/>
  <c r="O107" i="4"/>
  <c r="P106" i="4"/>
  <c r="O89" i="4"/>
  <c r="P88" i="4"/>
  <c r="N143" i="4"/>
  <c r="N140" i="4"/>
  <c r="P13" i="4"/>
  <c r="O14" i="4"/>
  <c r="L41" i="4"/>
  <c r="M41" i="4" s="1"/>
  <c r="L50" i="4"/>
  <c r="M50" i="4" s="1"/>
  <c r="L32" i="4"/>
  <c r="M32" i="4" s="1"/>
  <c r="D31" i="8"/>
  <c r="K153" i="4"/>
  <c r="F16" i="8"/>
  <c r="D43" i="8" s="1"/>
  <c r="J122" i="4"/>
  <c r="J128" i="4"/>
  <c r="J95" i="4"/>
  <c r="J101" i="4"/>
  <c r="L107" i="4"/>
  <c r="M107" i="4" s="1"/>
  <c r="L89" i="4"/>
  <c r="M89" i="4" s="1"/>
  <c r="K98" i="4"/>
  <c r="J107" i="4"/>
  <c r="K116" i="4"/>
  <c r="L116" i="4"/>
  <c r="M116" i="4" s="1"/>
  <c r="L98" i="4"/>
  <c r="M98" i="4" s="1"/>
  <c r="L80" i="4"/>
  <c r="M80" i="4" s="1"/>
  <c r="K107" i="4"/>
  <c r="K125" i="4"/>
  <c r="J89" i="4"/>
  <c r="J98" i="4"/>
  <c r="L125" i="4"/>
  <c r="M125" i="4" s="1"/>
  <c r="J116" i="4"/>
  <c r="J125" i="4"/>
  <c r="J80" i="4"/>
  <c r="K80" i="4"/>
  <c r="K59" i="4"/>
  <c r="J59" i="4"/>
  <c r="L59" i="4"/>
  <c r="M59" i="4" s="1"/>
  <c r="J47" i="4"/>
  <c r="J53" i="4"/>
  <c r="J50" i="4"/>
  <c r="J41" i="4"/>
  <c r="J32" i="4"/>
  <c r="J153" i="4"/>
  <c r="L153" i="4"/>
  <c r="M153" i="4" s="1"/>
  <c r="L23" i="4"/>
  <c r="M23" i="4" s="1"/>
  <c r="J20" i="4"/>
  <c r="K14" i="4"/>
  <c r="L14" i="4"/>
  <c r="M14" i="4" s="1"/>
  <c r="J23" i="4"/>
  <c r="L141" i="4"/>
  <c r="M141" i="4" s="1"/>
  <c r="J141" i="4"/>
  <c r="N41" i="3"/>
  <c r="L126" i="4" s="1"/>
  <c r="M126" i="4" s="1"/>
  <c r="G41" i="3"/>
  <c r="L60" i="4" s="1"/>
  <c r="M60" i="4" s="1"/>
  <c r="N40" i="3"/>
  <c r="L117" i="4" s="1"/>
  <c r="M117" i="4" s="1"/>
  <c r="N38" i="3"/>
  <c r="L99" i="4" s="1"/>
  <c r="M99" i="4" s="1"/>
  <c r="N36" i="3"/>
  <c r="L81" i="4" s="1"/>
  <c r="M37" i="3"/>
  <c r="K90" i="4" s="1"/>
  <c r="M39" i="3"/>
  <c r="K108" i="4" s="1"/>
  <c r="M41" i="3"/>
  <c r="K126" i="4" s="1"/>
  <c r="K37" i="3"/>
  <c r="I90" i="4" s="1"/>
  <c r="K39" i="3"/>
  <c r="I108" i="4" s="1"/>
  <c r="K41" i="3"/>
  <c r="I126" i="4" s="1"/>
  <c r="L37" i="3"/>
  <c r="J90" i="4" s="1"/>
  <c r="L36" i="3"/>
  <c r="J81" i="4" s="1"/>
  <c r="N39" i="3"/>
  <c r="L108" i="4" s="1"/>
  <c r="M108" i="4" s="1"/>
  <c r="N37" i="3"/>
  <c r="L90" i="4" s="1"/>
  <c r="M90" i="4" s="1"/>
  <c r="M36" i="3"/>
  <c r="K81" i="4" s="1"/>
  <c r="M38" i="3"/>
  <c r="K99" i="4" s="1"/>
  <c r="M40" i="3"/>
  <c r="K117" i="4" s="1"/>
  <c r="K36" i="3"/>
  <c r="I81" i="4" s="1"/>
  <c r="K38" i="3"/>
  <c r="I99" i="4" s="1"/>
  <c r="J100" i="4" s="1"/>
  <c r="K40" i="3"/>
  <c r="I117" i="4" s="1"/>
  <c r="L39" i="3"/>
  <c r="J108" i="4" s="1"/>
  <c r="L40" i="3"/>
  <c r="J117" i="4" s="1"/>
  <c r="E39" i="3"/>
  <c r="J42" i="4" s="1"/>
  <c r="J44" i="4" s="1"/>
  <c r="E38" i="3"/>
  <c r="J33" i="4" s="1"/>
  <c r="J35" i="4" s="1"/>
  <c r="G37" i="3"/>
  <c r="L24" i="4" s="1"/>
  <c r="M24" i="4" s="1"/>
  <c r="E36" i="3"/>
  <c r="E41" i="3"/>
  <c r="J60" i="4" s="1"/>
  <c r="D39" i="3"/>
  <c r="I42" i="4" s="1"/>
  <c r="F37" i="3"/>
  <c r="K24" i="4" s="1"/>
  <c r="K26" i="4" s="1"/>
  <c r="K27" i="4" s="1"/>
  <c r="G38" i="3"/>
  <c r="L33" i="4" s="1"/>
  <c r="M33" i="4" s="1"/>
  <c r="F40" i="3"/>
  <c r="K51" i="4" s="1"/>
  <c r="F36" i="3"/>
  <c r="K15" i="4" s="1"/>
  <c r="D38" i="3"/>
  <c r="I33" i="4" s="1"/>
  <c r="G39" i="3"/>
  <c r="L42" i="4" s="1"/>
  <c r="M42" i="4" s="1"/>
  <c r="F39" i="3"/>
  <c r="K42" i="4" s="1"/>
  <c r="K44" i="4" s="1"/>
  <c r="K45" i="4" s="1"/>
  <c r="F41" i="3"/>
  <c r="K60" i="4" s="1"/>
  <c r="G40" i="3"/>
  <c r="L51" i="4" s="1"/>
  <c r="M51" i="4" s="1"/>
  <c r="G36" i="3"/>
  <c r="L15" i="4" s="1"/>
  <c r="D41" i="3"/>
  <c r="I60" i="4" s="1"/>
  <c r="D37" i="3"/>
  <c r="I24" i="4" s="1"/>
  <c r="F38" i="3"/>
  <c r="K33" i="4" s="1"/>
  <c r="K35" i="4" s="1"/>
  <c r="D40" i="3"/>
  <c r="I51" i="4" s="1"/>
  <c r="D36" i="3"/>
  <c r="I15" i="4" s="1"/>
  <c r="P49" i="4" l="1"/>
  <c r="J24" i="15"/>
  <c r="J142" i="21"/>
  <c r="K142" i="21" s="1"/>
  <c r="L142" i="21" s="1"/>
  <c r="M142" i="21" s="1"/>
  <c r="N142" i="21" s="1"/>
  <c r="G22" i="15"/>
  <c r="F22" i="12" s="1"/>
  <c r="I16" i="15"/>
  <c r="I21" i="15" s="1"/>
  <c r="I18" i="15"/>
  <c r="I25" i="15" s="1"/>
  <c r="J17" i="15"/>
  <c r="J26" i="18"/>
  <c r="J22" i="18"/>
  <c r="J35" i="18"/>
  <c r="J31" i="18"/>
  <c r="K31" i="18"/>
  <c r="K35" i="18"/>
  <c r="M35" i="18"/>
  <c r="M31" i="18"/>
  <c r="D53" i="8"/>
  <c r="D54" i="8"/>
  <c r="M15" i="4"/>
  <c r="M17" i="4" s="1"/>
  <c r="M81" i="4"/>
  <c r="M77" i="4" s="1"/>
  <c r="N141" i="4"/>
  <c r="L7" i="18"/>
  <c r="D41" i="8"/>
  <c r="D42" i="8"/>
  <c r="K8" i="19"/>
  <c r="K27" i="19" s="1"/>
  <c r="K28" i="19" s="1"/>
  <c r="P148" i="4"/>
  <c r="O146" i="4"/>
  <c r="O149" i="4"/>
  <c r="P58" i="4"/>
  <c r="P59" i="4" s="1"/>
  <c r="P97" i="4"/>
  <c r="P98" i="4" s="1"/>
  <c r="S4" i="4"/>
  <c r="N4" i="12" s="1"/>
  <c r="M4" i="12"/>
  <c r="O141" i="4"/>
  <c r="P40" i="4"/>
  <c r="Q40" i="4" s="1"/>
  <c r="P31" i="4"/>
  <c r="Q144" i="4"/>
  <c r="P145" i="4"/>
  <c r="R150" i="4"/>
  <c r="Q151" i="4"/>
  <c r="Q142" i="4"/>
  <c r="P140" i="4"/>
  <c r="P143" i="4"/>
  <c r="N51" i="4"/>
  <c r="M47" i="4"/>
  <c r="M53" i="4"/>
  <c r="N24" i="4"/>
  <c r="M20" i="4"/>
  <c r="M26" i="4"/>
  <c r="N60" i="4"/>
  <c r="M56" i="4"/>
  <c r="M62" i="4"/>
  <c r="P22" i="4"/>
  <c r="O23" i="4"/>
  <c r="N42" i="4"/>
  <c r="M38" i="4"/>
  <c r="M44" i="4"/>
  <c r="N33" i="4"/>
  <c r="M29" i="4"/>
  <c r="M35" i="4"/>
  <c r="O116" i="4"/>
  <c r="N90" i="4"/>
  <c r="M86" i="4"/>
  <c r="M92" i="4"/>
  <c r="N81" i="4"/>
  <c r="N117" i="4"/>
  <c r="M113" i="4"/>
  <c r="M119" i="4"/>
  <c r="N126" i="4"/>
  <c r="M122" i="4"/>
  <c r="M128" i="4"/>
  <c r="N108" i="4"/>
  <c r="M104" i="4"/>
  <c r="M110" i="4"/>
  <c r="N99" i="4"/>
  <c r="M95" i="4"/>
  <c r="M101" i="4"/>
  <c r="Q13" i="4"/>
  <c r="P14" i="4"/>
  <c r="P89" i="4"/>
  <c r="Q88" i="4"/>
  <c r="P107" i="4"/>
  <c r="Q106" i="4"/>
  <c r="P125" i="4"/>
  <c r="Q124" i="4"/>
  <c r="P80" i="4"/>
  <c r="Q79" i="4"/>
  <c r="P116" i="4"/>
  <c r="Q115" i="4"/>
  <c r="P50" i="4"/>
  <c r="Q49" i="4"/>
  <c r="L44" i="4"/>
  <c r="L35" i="4"/>
  <c r="L26" i="4"/>
  <c r="D55" i="8"/>
  <c r="L17" i="4"/>
  <c r="K17" i="4"/>
  <c r="J113" i="4"/>
  <c r="J118" i="4"/>
  <c r="J119" i="4"/>
  <c r="I113" i="4"/>
  <c r="I119" i="4"/>
  <c r="K95" i="4"/>
  <c r="K100" i="4"/>
  <c r="K101" i="4"/>
  <c r="K102" i="4" s="1"/>
  <c r="L86" i="4"/>
  <c r="L92" i="4"/>
  <c r="L91" i="4"/>
  <c r="M91" i="4" s="1"/>
  <c r="I122" i="4"/>
  <c r="J123" i="4" s="1"/>
  <c r="I128" i="4"/>
  <c r="I86" i="4"/>
  <c r="I92" i="4"/>
  <c r="K104" i="4"/>
  <c r="K109" i="4"/>
  <c r="K110" i="4"/>
  <c r="L113" i="4"/>
  <c r="L119" i="4"/>
  <c r="L118" i="4"/>
  <c r="M118" i="4" s="1"/>
  <c r="L122" i="4"/>
  <c r="L128" i="4"/>
  <c r="L127" i="4"/>
  <c r="M127" i="4" s="1"/>
  <c r="J127" i="4"/>
  <c r="J104" i="4"/>
  <c r="J110" i="4"/>
  <c r="J109" i="4"/>
  <c r="I95" i="4"/>
  <c r="J96" i="4" s="1"/>
  <c r="I101" i="4"/>
  <c r="J102" i="4" s="1"/>
  <c r="K113" i="4"/>
  <c r="K118" i="4"/>
  <c r="K119" i="4"/>
  <c r="L104" i="4"/>
  <c r="L105" i="4" s="1"/>
  <c r="M105" i="4" s="1"/>
  <c r="L110" i="4"/>
  <c r="L109" i="4"/>
  <c r="M109" i="4" s="1"/>
  <c r="J86" i="4"/>
  <c r="J92" i="4"/>
  <c r="J91" i="4"/>
  <c r="I104" i="4"/>
  <c r="I110" i="4"/>
  <c r="K122" i="4"/>
  <c r="K127" i="4"/>
  <c r="K128" i="4"/>
  <c r="K129" i="4" s="1"/>
  <c r="K86" i="4"/>
  <c r="K91" i="4"/>
  <c r="K92" i="4"/>
  <c r="L95" i="4"/>
  <c r="L96" i="4" s="1"/>
  <c r="M96" i="4" s="1"/>
  <c r="L101" i="4"/>
  <c r="L100" i="4"/>
  <c r="M100" i="4" s="1"/>
  <c r="J129" i="4"/>
  <c r="I77" i="4"/>
  <c r="I83" i="4"/>
  <c r="J77" i="4"/>
  <c r="J78" i="4" s="1"/>
  <c r="J83" i="4"/>
  <c r="J82" i="4"/>
  <c r="L77" i="4"/>
  <c r="L83" i="4"/>
  <c r="L82" i="4"/>
  <c r="M82" i="4" s="1"/>
  <c r="K77" i="4"/>
  <c r="K83" i="4"/>
  <c r="K82" i="4"/>
  <c r="I56" i="4"/>
  <c r="I62" i="4"/>
  <c r="J56" i="4"/>
  <c r="J57" i="4" s="1"/>
  <c r="J61" i="4"/>
  <c r="J62" i="4"/>
  <c r="L56" i="4"/>
  <c r="L62" i="4"/>
  <c r="L61" i="4"/>
  <c r="M61" i="4" s="1"/>
  <c r="K56" i="4"/>
  <c r="K61" i="4"/>
  <c r="K62" i="4"/>
  <c r="K63" i="4" s="1"/>
  <c r="I47" i="4"/>
  <c r="J48" i="4" s="1"/>
  <c r="I53" i="4"/>
  <c r="J52" i="4"/>
  <c r="L47" i="4"/>
  <c r="L53" i="4"/>
  <c r="L52" i="4"/>
  <c r="M52" i="4" s="1"/>
  <c r="K47" i="4"/>
  <c r="K52" i="4"/>
  <c r="K53" i="4"/>
  <c r="K54" i="4" s="1"/>
  <c r="J54" i="4"/>
  <c r="I38" i="4"/>
  <c r="I44" i="4"/>
  <c r="J45" i="4" s="1"/>
  <c r="L38" i="4"/>
  <c r="L43" i="4"/>
  <c r="M43" i="4" s="1"/>
  <c r="K36" i="4"/>
  <c r="K38" i="4"/>
  <c r="K43" i="4"/>
  <c r="I29" i="4"/>
  <c r="I35" i="4"/>
  <c r="J36" i="4" s="1"/>
  <c r="J38" i="4"/>
  <c r="J43" i="4"/>
  <c r="K29" i="4"/>
  <c r="K34" i="4"/>
  <c r="L29" i="4"/>
  <c r="L30" i="4" s="1"/>
  <c r="M30" i="4" s="1"/>
  <c r="L34" i="4"/>
  <c r="M34" i="4" s="1"/>
  <c r="J29" i="4"/>
  <c r="J30" i="4" s="1"/>
  <c r="J34" i="4"/>
  <c r="I20" i="4"/>
  <c r="J21" i="4" s="1"/>
  <c r="I26" i="4"/>
  <c r="J27" i="4" s="1"/>
  <c r="I11" i="4"/>
  <c r="I17" i="4"/>
  <c r="J25" i="4"/>
  <c r="K20" i="4"/>
  <c r="K25" i="4"/>
  <c r="L11" i="4"/>
  <c r="L16" i="4"/>
  <c r="M16" i="4" s="1"/>
  <c r="K11" i="4"/>
  <c r="E42" i="3"/>
  <c r="J69" i="4" s="1"/>
  <c r="J15" i="4"/>
  <c r="L20" i="4"/>
  <c r="L25" i="4"/>
  <c r="M25" i="4" s="1"/>
  <c r="G42" i="3"/>
  <c r="L69" i="4" s="1"/>
  <c r="M69" i="4" s="1"/>
  <c r="F42" i="3"/>
  <c r="K69" i="4" s="1"/>
  <c r="K10" i="4" s="1"/>
  <c r="D42" i="3"/>
  <c r="I69" i="4" s="1"/>
  <c r="I71" i="4" s="1"/>
  <c r="K42" i="3"/>
  <c r="I135" i="4" s="1"/>
  <c r="I137" i="4" s="1"/>
  <c r="M42" i="3"/>
  <c r="K135" i="4" s="1"/>
  <c r="K76" i="4" s="1"/>
  <c r="L42" i="3"/>
  <c r="J135" i="4" s="1"/>
  <c r="J76" i="4" s="1"/>
  <c r="N42" i="3"/>
  <c r="L135" i="4" s="1"/>
  <c r="M135" i="4" s="1"/>
  <c r="N53" i="3"/>
  <c r="L133" i="4" s="1"/>
  <c r="M133" i="4" s="1"/>
  <c r="N133" i="4" s="1"/>
  <c r="M53" i="3"/>
  <c r="K133" i="4" s="1"/>
  <c r="J16" i="15" l="1"/>
  <c r="J18" i="15"/>
  <c r="J21" i="15"/>
  <c r="J22" i="15" s="1"/>
  <c r="I22" i="12" s="1"/>
  <c r="I22" i="15"/>
  <c r="H22" i="12" s="1"/>
  <c r="P41" i="4"/>
  <c r="M76" i="4"/>
  <c r="M83" i="4"/>
  <c r="L22" i="18"/>
  <c r="J111" i="21" s="1"/>
  <c r="K111" i="21" s="1"/>
  <c r="L111" i="21" s="1"/>
  <c r="M111" i="21" s="1"/>
  <c r="N111" i="21" s="1"/>
  <c r="L26" i="18"/>
  <c r="J113" i="21" s="1"/>
  <c r="K113" i="21" s="1"/>
  <c r="L113" i="21" s="1"/>
  <c r="M113" i="21" s="1"/>
  <c r="N113" i="21" s="1"/>
  <c r="N31" i="18"/>
  <c r="N35" i="18"/>
  <c r="K7" i="4"/>
  <c r="J10" i="4"/>
  <c r="J7" i="4" s="1"/>
  <c r="Q58" i="4"/>
  <c r="R58" i="4" s="1"/>
  <c r="M11" i="4"/>
  <c r="M10" i="4"/>
  <c r="N15" i="4"/>
  <c r="N11" i="4" s="1"/>
  <c r="I76" i="4"/>
  <c r="L10" i="4"/>
  <c r="L76" i="4"/>
  <c r="I10" i="4"/>
  <c r="P141" i="4"/>
  <c r="N7" i="18"/>
  <c r="O147" i="4"/>
  <c r="M8" i="18"/>
  <c r="M34" i="18" s="1"/>
  <c r="L8" i="19"/>
  <c r="L27" i="19" s="1"/>
  <c r="L28" i="19" s="1"/>
  <c r="Q148" i="4"/>
  <c r="P146" i="4"/>
  <c r="P149" i="4"/>
  <c r="Q97" i="4"/>
  <c r="Q98" i="4" s="1"/>
  <c r="P32" i="4"/>
  <c r="Q31" i="4"/>
  <c r="N62" i="4"/>
  <c r="N63" i="4" s="1"/>
  <c r="R142" i="4"/>
  <c r="Q140" i="4"/>
  <c r="Q143" i="4"/>
  <c r="S150" i="4"/>
  <c r="S151" i="4" s="1"/>
  <c r="R151" i="4"/>
  <c r="R144" i="4"/>
  <c r="Q145" i="4"/>
  <c r="N119" i="4"/>
  <c r="O119" i="4" s="1"/>
  <c r="N92" i="4"/>
  <c r="N93" i="4" s="1"/>
  <c r="N101" i="4"/>
  <c r="N102" i="4" s="1"/>
  <c r="N128" i="4"/>
  <c r="O128" i="4" s="1"/>
  <c r="N17" i="4"/>
  <c r="O17" i="4" s="1"/>
  <c r="N69" i="4"/>
  <c r="M71" i="4"/>
  <c r="N38" i="4"/>
  <c r="N39" i="4" s="1"/>
  <c r="N43" i="4"/>
  <c r="N56" i="4"/>
  <c r="N57" i="4" s="1"/>
  <c r="N61" i="4"/>
  <c r="N52" i="4"/>
  <c r="N47" i="4"/>
  <c r="N48" i="4" s="1"/>
  <c r="N53" i="4"/>
  <c r="N54" i="4" s="1"/>
  <c r="N83" i="4"/>
  <c r="N84" i="4" s="1"/>
  <c r="N34" i="4"/>
  <c r="N29" i="4"/>
  <c r="N30" i="4" s="1"/>
  <c r="P23" i="4"/>
  <c r="Q22" i="4"/>
  <c r="N20" i="4"/>
  <c r="N25" i="4"/>
  <c r="N134" i="4"/>
  <c r="O133" i="4"/>
  <c r="N135" i="4"/>
  <c r="N76" i="4" s="1"/>
  <c r="M131" i="4"/>
  <c r="M74" i="4" s="1"/>
  <c r="M137" i="4"/>
  <c r="N110" i="4"/>
  <c r="N111" i="4" s="1"/>
  <c r="N100" i="4"/>
  <c r="N95" i="4"/>
  <c r="N96" i="4" s="1"/>
  <c r="N122" i="4"/>
  <c r="N123" i="4" s="1"/>
  <c r="N127" i="4"/>
  <c r="N82" i="4"/>
  <c r="N77" i="4"/>
  <c r="N78" i="4" s="1"/>
  <c r="N104" i="4"/>
  <c r="N105" i="4" s="1"/>
  <c r="N109" i="4"/>
  <c r="N118" i="4"/>
  <c r="N113" i="4"/>
  <c r="N114" i="4" s="1"/>
  <c r="N86" i="4"/>
  <c r="N87" i="4" s="1"/>
  <c r="N91" i="4"/>
  <c r="L12" i="4"/>
  <c r="M12" i="4" s="1"/>
  <c r="K21" i="4"/>
  <c r="N21" i="4"/>
  <c r="K48" i="4"/>
  <c r="K78" i="4"/>
  <c r="K123" i="4"/>
  <c r="K96" i="4"/>
  <c r="L36" i="4"/>
  <c r="M36" i="4" s="1"/>
  <c r="N35" i="4"/>
  <c r="R13" i="4"/>
  <c r="Q14" i="4"/>
  <c r="K57" i="4"/>
  <c r="K87" i="4"/>
  <c r="K114" i="4"/>
  <c r="L27" i="4"/>
  <c r="M27" i="4" s="1"/>
  <c r="N26" i="4"/>
  <c r="L45" i="4"/>
  <c r="M45" i="4" s="1"/>
  <c r="N44" i="4"/>
  <c r="R49" i="4"/>
  <c r="Q50" i="4"/>
  <c r="Q116" i="4"/>
  <c r="R115" i="4"/>
  <c r="R79" i="4"/>
  <c r="Q80" i="4"/>
  <c r="R124" i="4"/>
  <c r="Q125" i="4"/>
  <c r="R106" i="4"/>
  <c r="Q107" i="4"/>
  <c r="Q89" i="4"/>
  <c r="R88" i="4"/>
  <c r="Q41" i="4"/>
  <c r="R40" i="4"/>
  <c r="K84" i="4"/>
  <c r="L123" i="4"/>
  <c r="M123" i="4" s="1"/>
  <c r="K105" i="4"/>
  <c r="L102" i="4"/>
  <c r="M102" i="4" s="1"/>
  <c r="J87" i="4"/>
  <c r="L111" i="4"/>
  <c r="M111" i="4" s="1"/>
  <c r="J114" i="4"/>
  <c r="J84" i="4"/>
  <c r="L87" i="4"/>
  <c r="M87" i="4" s="1"/>
  <c r="L114" i="4"/>
  <c r="M114" i="4" s="1"/>
  <c r="L18" i="4"/>
  <c r="M18" i="4" s="1"/>
  <c r="J93" i="4"/>
  <c r="L137" i="4"/>
  <c r="L136" i="4"/>
  <c r="M136" i="4" s="1"/>
  <c r="K136" i="4"/>
  <c r="K137" i="4"/>
  <c r="J105" i="4"/>
  <c r="L129" i="4"/>
  <c r="M129" i="4" s="1"/>
  <c r="J120" i="4"/>
  <c r="J136" i="4"/>
  <c r="J137" i="4"/>
  <c r="J138" i="4" s="1"/>
  <c r="K93" i="4"/>
  <c r="K120" i="4"/>
  <c r="J111" i="4"/>
  <c r="L120" i="4"/>
  <c r="M120" i="4" s="1"/>
  <c r="K111" i="4"/>
  <c r="L93" i="4"/>
  <c r="M93" i="4" s="1"/>
  <c r="L134" i="4"/>
  <c r="M134" i="4" s="1"/>
  <c r="L78" i="4"/>
  <c r="M78" i="4" s="1"/>
  <c r="L84" i="4"/>
  <c r="M84" i="4" s="1"/>
  <c r="K70" i="4"/>
  <c r="K71" i="4"/>
  <c r="L71" i="4"/>
  <c r="L70" i="4"/>
  <c r="M70" i="4" s="1"/>
  <c r="J70" i="4"/>
  <c r="J71" i="4"/>
  <c r="J72" i="4" s="1"/>
  <c r="L57" i="4"/>
  <c r="M57" i="4" s="1"/>
  <c r="J63" i="4"/>
  <c r="L63" i="4"/>
  <c r="M63" i="4" s="1"/>
  <c r="L48" i="4"/>
  <c r="M48" i="4" s="1"/>
  <c r="L54" i="4"/>
  <c r="M54" i="4" s="1"/>
  <c r="J39" i="4"/>
  <c r="K30" i="4"/>
  <c r="L39" i="4"/>
  <c r="M39" i="4" s="1"/>
  <c r="K39" i="4"/>
  <c r="K16" i="4"/>
  <c r="J17" i="4"/>
  <c r="K53" i="3"/>
  <c r="I133" i="4" s="1"/>
  <c r="I131" i="4" s="1"/>
  <c r="I74" i="4" s="1"/>
  <c r="D9" i="8" s="1"/>
  <c r="D13" i="8" s="1"/>
  <c r="L131" i="4"/>
  <c r="K131" i="4"/>
  <c r="L21" i="4"/>
  <c r="M21" i="4" s="1"/>
  <c r="J11" i="4"/>
  <c r="J12" i="4" s="1"/>
  <c r="J16" i="4"/>
  <c r="K12" i="4"/>
  <c r="L53" i="3"/>
  <c r="J133" i="4" s="1"/>
  <c r="E53" i="3"/>
  <c r="J67" i="4" s="1"/>
  <c r="G53" i="3"/>
  <c r="L67" i="4" s="1"/>
  <c r="M67" i="4" s="1"/>
  <c r="N67" i="4" s="1"/>
  <c r="F53" i="3"/>
  <c r="K67" i="4" s="1"/>
  <c r="D53" i="3"/>
  <c r="I67" i="4" s="1"/>
  <c r="I65" i="4" s="1"/>
  <c r="I8" i="4" s="1"/>
  <c r="D4" i="8" s="1"/>
  <c r="R97" i="4" l="1"/>
  <c r="J144" i="21"/>
  <c r="K144" i="21" s="1"/>
  <c r="L144" i="21" s="1"/>
  <c r="M144" i="21" s="1"/>
  <c r="N144" i="21" s="1"/>
  <c r="J25" i="15"/>
  <c r="Q59" i="4"/>
  <c r="O62" i="4"/>
  <c r="P62" i="4" s="1"/>
  <c r="N16" i="4"/>
  <c r="H5" i="18"/>
  <c r="F5" i="19"/>
  <c r="N137" i="4"/>
  <c r="N138" i="4" s="1"/>
  <c r="G5" i="19"/>
  <c r="I5" i="18"/>
  <c r="O35" i="18"/>
  <c r="O31" i="18"/>
  <c r="M26" i="18"/>
  <c r="M25" i="18" s="1"/>
  <c r="M30" i="18"/>
  <c r="M22" i="18"/>
  <c r="M21" i="18" s="1"/>
  <c r="L7" i="4"/>
  <c r="M7" i="4"/>
  <c r="I7" i="4"/>
  <c r="O53" i="4"/>
  <c r="P53" i="4" s="1"/>
  <c r="N10" i="4"/>
  <c r="N7" i="4" s="1"/>
  <c r="Q141" i="4"/>
  <c r="O7" i="18"/>
  <c r="P147" i="4"/>
  <c r="N8" i="18"/>
  <c r="N30" i="18" s="1"/>
  <c r="O101" i="4"/>
  <c r="P101" i="4" s="1"/>
  <c r="N120" i="4"/>
  <c r="O83" i="4"/>
  <c r="O81" i="4" s="1"/>
  <c r="M8" i="19"/>
  <c r="M27" i="19" s="1"/>
  <c r="M28" i="19" s="1"/>
  <c r="R148" i="4"/>
  <c r="Q146" i="4"/>
  <c r="Q149" i="4"/>
  <c r="N129" i="4"/>
  <c r="O92" i="4"/>
  <c r="P92" i="4" s="1"/>
  <c r="N18" i="4"/>
  <c r="S142" i="4"/>
  <c r="R140" i="4"/>
  <c r="R143" i="4"/>
  <c r="Q32" i="4"/>
  <c r="R31" i="4"/>
  <c r="N71" i="4"/>
  <c r="O71" i="4" s="1"/>
  <c r="O110" i="4"/>
  <c r="O111" i="4" s="1"/>
  <c r="S144" i="4"/>
  <c r="S145" i="4" s="1"/>
  <c r="R145" i="4"/>
  <c r="N12" i="4"/>
  <c r="M65" i="4"/>
  <c r="M8" i="4" s="1"/>
  <c r="M155" i="4" s="1"/>
  <c r="N68" i="4"/>
  <c r="O67" i="4"/>
  <c r="Q23" i="4"/>
  <c r="R22" i="4"/>
  <c r="N70" i="4"/>
  <c r="N65" i="4"/>
  <c r="N8" i="4" s="1"/>
  <c r="N155" i="4" s="1"/>
  <c r="M157" i="4"/>
  <c r="M5" i="4"/>
  <c r="N136" i="4"/>
  <c r="N131" i="4"/>
  <c r="N132" i="4" s="1"/>
  <c r="P133" i="4"/>
  <c r="O134" i="4"/>
  <c r="R107" i="4"/>
  <c r="S106" i="4"/>
  <c r="S107" i="4" s="1"/>
  <c r="R125" i="4"/>
  <c r="S124" i="4"/>
  <c r="S125" i="4" s="1"/>
  <c r="R80" i="4"/>
  <c r="S79" i="4"/>
  <c r="S80" i="4" s="1"/>
  <c r="R50" i="4"/>
  <c r="S49" i="4"/>
  <c r="S50" i="4" s="1"/>
  <c r="O18" i="4"/>
  <c r="O15" i="4"/>
  <c r="P17" i="4"/>
  <c r="S13" i="4"/>
  <c r="S14" i="4" s="1"/>
  <c r="R14" i="4"/>
  <c r="S40" i="4"/>
  <c r="S41" i="4" s="1"/>
  <c r="R41" i="4"/>
  <c r="S58" i="4"/>
  <c r="S59" i="4" s="1"/>
  <c r="R59" i="4"/>
  <c r="S88" i="4"/>
  <c r="S89" i="4" s="1"/>
  <c r="R89" i="4"/>
  <c r="S115" i="4"/>
  <c r="S116" i="4" s="1"/>
  <c r="R116" i="4"/>
  <c r="S97" i="4"/>
  <c r="S98" i="4" s="1"/>
  <c r="R98" i="4"/>
  <c r="N45" i="4"/>
  <c r="O44" i="4"/>
  <c r="N27" i="4"/>
  <c r="O26" i="4"/>
  <c r="O129" i="4"/>
  <c r="P128" i="4"/>
  <c r="O126" i="4"/>
  <c r="O63" i="4"/>
  <c r="N36" i="4"/>
  <c r="O35" i="4"/>
  <c r="P119" i="4"/>
  <c r="O117" i="4"/>
  <c r="O120" i="4"/>
  <c r="D17" i="8"/>
  <c r="D20" i="8" s="1"/>
  <c r="D8" i="8"/>
  <c r="D25" i="8"/>
  <c r="D26" i="8"/>
  <c r="I157" i="4"/>
  <c r="L138" i="4"/>
  <c r="M138" i="4" s="1"/>
  <c r="K138" i="4"/>
  <c r="J131" i="4"/>
  <c r="J132" i="4" s="1"/>
  <c r="J134" i="4"/>
  <c r="K134" i="4"/>
  <c r="L65" i="4"/>
  <c r="L8" i="4" s="1"/>
  <c r="L68" i="4"/>
  <c r="M68" i="4" s="1"/>
  <c r="K72" i="4"/>
  <c r="K65" i="4"/>
  <c r="K68" i="4"/>
  <c r="J65" i="4"/>
  <c r="J8" i="4" s="1"/>
  <c r="J68" i="4"/>
  <c r="L72" i="4"/>
  <c r="M72" i="4" s="1"/>
  <c r="J18" i="4"/>
  <c r="K18" i="4"/>
  <c r="K74" i="4"/>
  <c r="L132" i="4"/>
  <c r="M132" i="4" s="1"/>
  <c r="L74" i="4"/>
  <c r="G9" i="8" s="1"/>
  <c r="G13" i="8" s="1"/>
  <c r="I155" i="4"/>
  <c r="I5" i="4"/>
  <c r="P83" i="4" l="1"/>
  <c r="P84" i="4" s="1"/>
  <c r="O60" i="4"/>
  <c r="O56" i="4" s="1"/>
  <c r="O57" i="4" s="1"/>
  <c r="O51" i="4"/>
  <c r="O47" i="4" s="1"/>
  <c r="O48" i="4" s="1"/>
  <c r="O137" i="4"/>
  <c r="O135" i="4" s="1"/>
  <c r="O54" i="4"/>
  <c r="L5" i="18"/>
  <c r="L17" i="18" s="1"/>
  <c r="J5" i="19"/>
  <c r="J25" i="19" s="1"/>
  <c r="J75" i="21" s="1"/>
  <c r="K75" i="21" s="1"/>
  <c r="L75" i="21" s="1"/>
  <c r="M75" i="21" s="1"/>
  <c r="N75" i="21" s="1"/>
  <c r="E5" i="19"/>
  <c r="E22" i="19" s="1"/>
  <c r="G5" i="18"/>
  <c r="G22" i="19"/>
  <c r="G25" i="19"/>
  <c r="F22" i="19"/>
  <c r="F25" i="19"/>
  <c r="I5" i="19"/>
  <c r="I25" i="19" s="1"/>
  <c r="K5" i="18"/>
  <c r="J5" i="18"/>
  <c r="H5" i="19"/>
  <c r="E25" i="19"/>
  <c r="N34" i="18"/>
  <c r="Q31" i="18"/>
  <c r="P31" i="18"/>
  <c r="P35" i="18"/>
  <c r="Q35" i="18"/>
  <c r="N22" i="18"/>
  <c r="N21" i="18" s="1"/>
  <c r="N26" i="18"/>
  <c r="N25" i="18" s="1"/>
  <c r="O84" i="4"/>
  <c r="O90" i="4"/>
  <c r="O86" i="4" s="1"/>
  <c r="O87" i="4" s="1"/>
  <c r="O99" i="4"/>
  <c r="O100" i="4" s="1"/>
  <c r="O93" i="4"/>
  <c r="O102" i="4"/>
  <c r="R141" i="4"/>
  <c r="P7" i="18"/>
  <c r="Q147" i="4"/>
  <c r="O8" i="18"/>
  <c r="O34" i="18" s="1"/>
  <c r="E7" i="19"/>
  <c r="I7" i="19"/>
  <c r="N8" i="19"/>
  <c r="N27" i="19" s="1"/>
  <c r="N28" i="19" s="1"/>
  <c r="R149" i="4"/>
  <c r="S148" i="4"/>
  <c r="R146" i="4"/>
  <c r="P110" i="4"/>
  <c r="P111" i="4" s="1"/>
  <c r="N72" i="4"/>
  <c r="O108" i="4"/>
  <c r="O104" i="4" s="1"/>
  <c r="O105" i="4" s="1"/>
  <c r="N74" i="4"/>
  <c r="N5" i="4" s="1"/>
  <c r="N66" i="4"/>
  <c r="R32" i="4"/>
  <c r="S31" i="4"/>
  <c r="S32" i="4" s="1"/>
  <c r="S140" i="4"/>
  <c r="S143" i="4"/>
  <c r="R23" i="4"/>
  <c r="S22" i="4"/>
  <c r="S23" i="4" s="1"/>
  <c r="P67" i="4"/>
  <c r="O68" i="4"/>
  <c r="N157" i="4"/>
  <c r="M159" i="4"/>
  <c r="M160" i="4"/>
  <c r="I6" i="15" s="1"/>
  <c r="Q133" i="4"/>
  <c r="P134" i="4"/>
  <c r="O52" i="4"/>
  <c r="O118" i="4"/>
  <c r="O113" i="4"/>
  <c r="O114" i="4" s="1"/>
  <c r="P63" i="4"/>
  <c r="P60" i="4"/>
  <c r="Q62" i="4"/>
  <c r="P102" i="4"/>
  <c r="P99" i="4"/>
  <c r="Q101" i="4"/>
  <c r="O127" i="4"/>
  <c r="O122" i="4"/>
  <c r="O123" i="4" s="1"/>
  <c r="O11" i="4"/>
  <c r="O16" i="4"/>
  <c r="F9" i="8"/>
  <c r="F13" i="8" s="1"/>
  <c r="D51" i="8" s="1"/>
  <c r="P54" i="4"/>
  <c r="P51" i="4"/>
  <c r="Q53" i="4"/>
  <c r="O82" i="4"/>
  <c r="O77" i="4"/>
  <c r="P120" i="4"/>
  <c r="P117" i="4"/>
  <c r="Q119" i="4"/>
  <c r="P93" i="4"/>
  <c r="P90" i="4"/>
  <c r="Q92" i="4"/>
  <c r="O36" i="4"/>
  <c r="P35" i="4"/>
  <c r="O33" i="4"/>
  <c r="P129" i="4"/>
  <c r="P126" i="4"/>
  <c r="Q128" i="4"/>
  <c r="O27" i="4"/>
  <c r="P26" i="4"/>
  <c r="O24" i="4"/>
  <c r="O45" i="4"/>
  <c r="P44" i="4"/>
  <c r="O42" i="4"/>
  <c r="P71" i="4"/>
  <c r="O69" i="4"/>
  <c r="O72" i="4"/>
  <c r="Q17" i="4"/>
  <c r="P15" i="4"/>
  <c r="P18" i="4"/>
  <c r="E4" i="8"/>
  <c r="D21" i="8"/>
  <c r="D22" i="8"/>
  <c r="G4" i="8"/>
  <c r="J74" i="4"/>
  <c r="K132" i="4"/>
  <c r="L66" i="4"/>
  <c r="M66" i="4" s="1"/>
  <c r="J66" i="4"/>
  <c r="K66" i="4"/>
  <c r="K8" i="4"/>
  <c r="L157" i="4"/>
  <c r="L75" i="4"/>
  <c r="M75" i="4" s="1"/>
  <c r="K157" i="4"/>
  <c r="J155" i="4"/>
  <c r="J9" i="4"/>
  <c r="L155" i="4"/>
  <c r="L5" i="4"/>
  <c r="I159" i="4"/>
  <c r="I160" i="4"/>
  <c r="E6" i="15" s="1"/>
  <c r="O138" i="4" l="1"/>
  <c r="O61" i="4"/>
  <c r="P81" i="4"/>
  <c r="P77" i="4" s="1"/>
  <c r="Q83" i="4"/>
  <c r="Q81" i="4" s="1"/>
  <c r="P137" i="4"/>
  <c r="P138" i="4" s="1"/>
  <c r="O95" i="4"/>
  <c r="O96" i="4" s="1"/>
  <c r="O91" i="4"/>
  <c r="L13" i="18"/>
  <c r="G6" i="18"/>
  <c r="D5" i="12"/>
  <c r="K6" i="18"/>
  <c r="H5" i="12"/>
  <c r="H8" i="21" s="1"/>
  <c r="J17" i="18"/>
  <c r="J13" i="18"/>
  <c r="O30" i="18"/>
  <c r="H25" i="19"/>
  <c r="H22" i="19"/>
  <c r="I22" i="19" s="1"/>
  <c r="J22" i="19" s="1"/>
  <c r="J74" i="21" s="1"/>
  <c r="K74" i="21" s="1"/>
  <c r="L74" i="21" s="1"/>
  <c r="M74" i="21" s="1"/>
  <c r="N74" i="21" s="1"/>
  <c r="K17" i="18"/>
  <c r="K13" i="18"/>
  <c r="I23" i="19"/>
  <c r="I26" i="19"/>
  <c r="E23" i="19"/>
  <c r="E26" i="19"/>
  <c r="O26" i="18"/>
  <c r="O25" i="18" s="1"/>
  <c r="O22" i="18"/>
  <c r="O21" i="18" s="1"/>
  <c r="O10" i="4"/>
  <c r="P108" i="4"/>
  <c r="P104" i="4" s="1"/>
  <c r="P105" i="4" s="1"/>
  <c r="O76" i="4"/>
  <c r="O109" i="4"/>
  <c r="Q110" i="4"/>
  <c r="R110" i="4" s="1"/>
  <c r="S141" i="4"/>
  <c r="Q7" i="18"/>
  <c r="R147" i="4"/>
  <c r="P8" i="18"/>
  <c r="P34" i="18" s="1"/>
  <c r="H7" i="19"/>
  <c r="J7" i="19"/>
  <c r="O8" i="19"/>
  <c r="O27" i="19" s="1"/>
  <c r="O28" i="19" s="1"/>
  <c r="S149" i="4"/>
  <c r="S146" i="4"/>
  <c r="E6" i="19"/>
  <c r="I6" i="19"/>
  <c r="I44" i="19" s="1"/>
  <c r="N75" i="4"/>
  <c r="P68" i="4"/>
  <c r="Q67" i="4"/>
  <c r="D50" i="8"/>
  <c r="N160" i="4"/>
  <c r="J6" i="15" s="1"/>
  <c r="N159" i="4"/>
  <c r="Q134" i="4"/>
  <c r="R133" i="4"/>
  <c r="P11" i="4"/>
  <c r="P16" i="4"/>
  <c r="P72" i="4"/>
  <c r="P69" i="4"/>
  <c r="Q71" i="4"/>
  <c r="O136" i="4"/>
  <c r="O131" i="4"/>
  <c r="O132" i="4" s="1"/>
  <c r="O43" i="4"/>
  <c r="O38" i="4"/>
  <c r="O39" i="4" s="1"/>
  <c r="P27" i="4"/>
  <c r="P24" i="4"/>
  <c r="Q26" i="4"/>
  <c r="Q126" i="4"/>
  <c r="R128" i="4"/>
  <c r="Q129" i="4"/>
  <c r="P36" i="4"/>
  <c r="P33" i="4"/>
  <c r="Q35" i="4"/>
  <c r="Q93" i="4"/>
  <c r="Q90" i="4"/>
  <c r="R92" i="4"/>
  <c r="P118" i="4"/>
  <c r="P113" i="4"/>
  <c r="P114" i="4" s="1"/>
  <c r="O78" i="4"/>
  <c r="O74" i="4"/>
  <c r="Q51" i="4"/>
  <c r="R53" i="4"/>
  <c r="Q54" i="4"/>
  <c r="P100" i="4"/>
  <c r="P95" i="4"/>
  <c r="P96" i="4" s="1"/>
  <c r="Q63" i="4"/>
  <c r="Q60" i="4"/>
  <c r="R62" i="4"/>
  <c r="F4" i="8"/>
  <c r="F8" i="8" s="1"/>
  <c r="N9" i="4"/>
  <c r="D49" i="8"/>
  <c r="R17" i="4"/>
  <c r="Q15" i="4"/>
  <c r="Q18" i="4"/>
  <c r="O70" i="4"/>
  <c r="O65" i="4"/>
  <c r="O66" i="4" s="1"/>
  <c r="P45" i="4"/>
  <c r="P42" i="4"/>
  <c r="Q44" i="4"/>
  <c r="O25" i="4"/>
  <c r="O20" i="4"/>
  <c r="O21" i="4" s="1"/>
  <c r="P127" i="4"/>
  <c r="P122" i="4"/>
  <c r="P123" i="4" s="1"/>
  <c r="O34" i="4"/>
  <c r="O29" i="4"/>
  <c r="O30" i="4" s="1"/>
  <c r="P91" i="4"/>
  <c r="P86" i="4"/>
  <c r="P87" i="4" s="1"/>
  <c r="Q120" i="4"/>
  <c r="Q117" i="4"/>
  <c r="R119" i="4"/>
  <c r="P52" i="4"/>
  <c r="P47" i="4"/>
  <c r="P48" i="4" s="1"/>
  <c r="O12" i="4"/>
  <c r="Q102" i="4"/>
  <c r="Q99" i="4"/>
  <c r="R101" i="4"/>
  <c r="P61" i="4"/>
  <c r="P56" i="4"/>
  <c r="P57" i="4" s="1"/>
  <c r="E9" i="8"/>
  <c r="E13" i="8" s="1"/>
  <c r="G17" i="8"/>
  <c r="D56" i="8" s="1"/>
  <c r="G8" i="8"/>
  <c r="E8" i="8"/>
  <c r="K75" i="4"/>
  <c r="J157" i="4"/>
  <c r="L9" i="4"/>
  <c r="M9" i="4" s="1"/>
  <c r="K9" i="4"/>
  <c r="J5" i="4"/>
  <c r="J6" i="4" s="1"/>
  <c r="J75" i="4"/>
  <c r="K5" i="4"/>
  <c r="K6" i="4" s="1"/>
  <c r="K155" i="4"/>
  <c r="L159" i="4"/>
  <c r="L160" i="4"/>
  <c r="H6" i="15" s="1"/>
  <c r="J160" i="4"/>
  <c r="F6" i="15" s="1"/>
  <c r="F11" i="15" s="1"/>
  <c r="Q108" i="4" l="1"/>
  <c r="D9" i="12"/>
  <c r="D17" i="12" s="1"/>
  <c r="D8" i="21"/>
  <c r="P82" i="4"/>
  <c r="Q84" i="4"/>
  <c r="R83" i="4"/>
  <c r="R84" i="4" s="1"/>
  <c r="P135" i="4"/>
  <c r="P76" i="4" s="1"/>
  <c r="Q137" i="4"/>
  <c r="Q138" i="4" s="1"/>
  <c r="Q111" i="4"/>
  <c r="P30" i="18"/>
  <c r="F23" i="15"/>
  <c r="F15" i="15"/>
  <c r="H6" i="18"/>
  <c r="E5" i="12"/>
  <c r="E20" i="19"/>
  <c r="E44" i="19"/>
  <c r="J6" i="18"/>
  <c r="G5" i="12"/>
  <c r="G8" i="21" s="1"/>
  <c r="L6" i="18"/>
  <c r="I5" i="12"/>
  <c r="I42" i="19"/>
  <c r="I56" i="19"/>
  <c r="I52" i="19"/>
  <c r="I48" i="19"/>
  <c r="I54" i="19"/>
  <c r="I50" i="19"/>
  <c r="I46" i="19"/>
  <c r="I38" i="19"/>
  <c r="I40" i="19"/>
  <c r="I36" i="19"/>
  <c r="I32" i="19"/>
  <c r="I34" i="19"/>
  <c r="I30" i="19"/>
  <c r="I20" i="19"/>
  <c r="E10" i="19"/>
  <c r="E42" i="19"/>
  <c r="E32" i="19"/>
  <c r="E36" i="19"/>
  <c r="E38" i="19"/>
  <c r="E56" i="19"/>
  <c r="E54" i="19"/>
  <c r="E40" i="19"/>
  <c r="E52" i="19"/>
  <c r="E48" i="19"/>
  <c r="E34" i="19"/>
  <c r="E46" i="19"/>
  <c r="E50" i="19"/>
  <c r="E30" i="19"/>
  <c r="J23" i="19"/>
  <c r="J26" i="19"/>
  <c r="H23" i="19"/>
  <c r="H26" i="19"/>
  <c r="Q22" i="18"/>
  <c r="Q21" i="18" s="1"/>
  <c r="P22" i="18"/>
  <c r="P21" i="18" s="1"/>
  <c r="Q26" i="18"/>
  <c r="Q25" i="18" s="1"/>
  <c r="P26" i="18"/>
  <c r="P25" i="18" s="1"/>
  <c r="O7" i="4"/>
  <c r="P109" i="4"/>
  <c r="L6" i="4"/>
  <c r="M6" i="4" s="1"/>
  <c r="F17" i="8"/>
  <c r="D44" i="8" s="1"/>
  <c r="N6" i="4"/>
  <c r="P10" i="4"/>
  <c r="S147" i="4"/>
  <c r="Q8" i="18"/>
  <c r="D8" i="12"/>
  <c r="F6" i="19"/>
  <c r="K160" i="4"/>
  <c r="G6" i="15" s="1"/>
  <c r="H15" i="15" s="1"/>
  <c r="G7" i="19"/>
  <c r="J159" i="4"/>
  <c r="F7" i="19"/>
  <c r="H6" i="19"/>
  <c r="J6" i="19"/>
  <c r="J44" i="19" s="1"/>
  <c r="D52" i="8"/>
  <c r="D14" i="12"/>
  <c r="D16" i="12"/>
  <c r="D18" i="12" s="1"/>
  <c r="D10" i="12"/>
  <c r="O75" i="4"/>
  <c r="O156" i="4"/>
  <c r="O157" i="4" s="1"/>
  <c r="R67" i="4"/>
  <c r="Q68" i="4"/>
  <c r="E17" i="8"/>
  <c r="D32" i="8" s="1"/>
  <c r="R134" i="4"/>
  <c r="S133" i="4"/>
  <c r="S134" i="4" s="1"/>
  <c r="Q77" i="4"/>
  <c r="Q82" i="4"/>
  <c r="S101" i="4"/>
  <c r="R102" i="4"/>
  <c r="R99" i="4"/>
  <c r="Q113" i="4"/>
  <c r="Q114" i="4" s="1"/>
  <c r="Q118" i="4"/>
  <c r="Q45" i="4"/>
  <c r="Q42" i="4"/>
  <c r="R44" i="4"/>
  <c r="S17" i="4"/>
  <c r="R15" i="4"/>
  <c r="R18" i="4"/>
  <c r="S62" i="4"/>
  <c r="R63" i="4"/>
  <c r="R60" i="4"/>
  <c r="R111" i="4"/>
  <c r="R108" i="4"/>
  <c r="S110" i="4"/>
  <c r="Q52" i="4"/>
  <c r="Q47" i="4"/>
  <c r="Q48" i="4" s="1"/>
  <c r="Q91" i="4"/>
  <c r="Q86" i="4"/>
  <c r="Q87" i="4" s="1"/>
  <c r="Q33" i="4"/>
  <c r="R35" i="4"/>
  <c r="Q36" i="4"/>
  <c r="R129" i="4"/>
  <c r="R126" i="4"/>
  <c r="S128" i="4"/>
  <c r="Q27" i="4"/>
  <c r="Q24" i="4"/>
  <c r="R26" i="4"/>
  <c r="P70" i="4"/>
  <c r="P65" i="4"/>
  <c r="P66" i="4" s="1"/>
  <c r="Q95" i="4"/>
  <c r="Q96" i="4" s="1"/>
  <c r="Q100" i="4"/>
  <c r="O8" i="4"/>
  <c r="S119" i="4"/>
  <c r="R120" i="4"/>
  <c r="R117" i="4"/>
  <c r="P43" i="4"/>
  <c r="P38" i="4"/>
  <c r="P39" i="4" s="1"/>
  <c r="Q11" i="4"/>
  <c r="Q16" i="4"/>
  <c r="P78" i="4"/>
  <c r="Q56" i="4"/>
  <c r="Q57" i="4" s="1"/>
  <c r="Q61" i="4"/>
  <c r="Q109" i="4"/>
  <c r="Q104" i="4"/>
  <c r="Q105" i="4" s="1"/>
  <c r="R54" i="4"/>
  <c r="R51" i="4"/>
  <c r="S53" i="4"/>
  <c r="R93" i="4"/>
  <c r="R90" i="4"/>
  <c r="S92" i="4"/>
  <c r="P29" i="4"/>
  <c r="P30" i="4" s="1"/>
  <c r="P34" i="4"/>
  <c r="Q127" i="4"/>
  <c r="Q122" i="4"/>
  <c r="Q123" i="4" s="1"/>
  <c r="P25" i="4"/>
  <c r="P20" i="4"/>
  <c r="P21" i="4" s="1"/>
  <c r="Q69" i="4"/>
  <c r="R71" i="4"/>
  <c r="Q72" i="4"/>
  <c r="P12" i="4"/>
  <c r="D47" i="8"/>
  <c r="D33" i="8"/>
  <c r="D23" i="8"/>
  <c r="D24" i="8" s="1"/>
  <c r="D34" i="8"/>
  <c r="D38" i="8"/>
  <c r="D27" i="8"/>
  <c r="D28" i="8" s="1"/>
  <c r="D37" i="8"/>
  <c r="D39" i="8"/>
  <c r="D35" i="8"/>
  <c r="D45" i="8"/>
  <c r="D46" i="8"/>
  <c r="K159" i="4"/>
  <c r="I6" i="12" l="1"/>
  <c r="I8" i="21"/>
  <c r="E9" i="12"/>
  <c r="E17" i="12" s="1"/>
  <c r="E8" i="21"/>
  <c r="P131" i="4"/>
  <c r="P132" i="4" s="1"/>
  <c r="S83" i="4"/>
  <c r="S84" i="4" s="1"/>
  <c r="D15" i="12"/>
  <c r="D9" i="21"/>
  <c r="R81" i="4"/>
  <c r="R82" i="4" s="1"/>
  <c r="P136" i="4"/>
  <c r="Q135" i="4"/>
  <c r="Q76" i="4" s="1"/>
  <c r="R137" i="4"/>
  <c r="R138" i="4" s="1"/>
  <c r="G11" i="15"/>
  <c r="J15" i="15"/>
  <c r="J11" i="15"/>
  <c r="J23" i="15" s="1"/>
  <c r="I15" i="15"/>
  <c r="I11" i="15"/>
  <c r="I23" i="15" s="1"/>
  <c r="G15" i="15"/>
  <c r="H11" i="15"/>
  <c r="H23" i="15" s="1"/>
  <c r="H20" i="19"/>
  <c r="H44" i="19"/>
  <c r="F20" i="19"/>
  <c r="F44" i="19"/>
  <c r="I6" i="18"/>
  <c r="F5" i="12"/>
  <c r="F8" i="21" s="1"/>
  <c r="J42" i="19"/>
  <c r="J50" i="19"/>
  <c r="J48" i="19"/>
  <c r="J52" i="19"/>
  <c r="J54" i="19"/>
  <c r="J56" i="19"/>
  <c r="J46" i="19"/>
  <c r="J40" i="19"/>
  <c r="J38" i="19"/>
  <c r="K5" i="19"/>
  <c r="M5" i="18"/>
  <c r="J32" i="19"/>
  <c r="J34" i="19"/>
  <c r="J36" i="19"/>
  <c r="J30" i="19"/>
  <c r="J20" i="19"/>
  <c r="H50" i="19"/>
  <c r="H46" i="19"/>
  <c r="H34" i="19"/>
  <c r="H48" i="19"/>
  <c r="H52" i="19"/>
  <c r="H40" i="19"/>
  <c r="H54" i="19"/>
  <c r="H56" i="19"/>
  <c r="H30" i="19"/>
  <c r="H38" i="19"/>
  <c r="H36" i="19"/>
  <c r="H32" i="19"/>
  <c r="H42" i="19"/>
  <c r="F10" i="19"/>
  <c r="F50" i="19"/>
  <c r="F46" i="19"/>
  <c r="F34" i="19"/>
  <c r="F48" i="19"/>
  <c r="F52" i="19"/>
  <c r="F40" i="19"/>
  <c r="F54" i="19"/>
  <c r="F56" i="19"/>
  <c r="F30" i="19"/>
  <c r="F38" i="19"/>
  <c r="F36" i="19"/>
  <c r="F32" i="19"/>
  <c r="F42" i="19"/>
  <c r="F23" i="19"/>
  <c r="F26" i="19"/>
  <c r="G23" i="19"/>
  <c r="G26" i="19"/>
  <c r="Q34" i="18"/>
  <c r="Q30" i="18"/>
  <c r="P7" i="4"/>
  <c r="Q10" i="4"/>
  <c r="E6" i="12"/>
  <c r="H6" i="12"/>
  <c r="E8" i="12"/>
  <c r="G6" i="19"/>
  <c r="D23" i="12"/>
  <c r="D10" i="21" s="1"/>
  <c r="D19" i="12"/>
  <c r="E14" i="12"/>
  <c r="E10" i="12"/>
  <c r="E16" i="12"/>
  <c r="E18" i="12" s="1"/>
  <c r="O154" i="4"/>
  <c r="O155" i="4" s="1"/>
  <c r="O9" i="4"/>
  <c r="S67" i="4"/>
  <c r="S68" i="4" s="1"/>
  <c r="R68" i="4"/>
  <c r="R72" i="4"/>
  <c r="R69" i="4"/>
  <c r="S71" i="4"/>
  <c r="S93" i="4"/>
  <c r="S90" i="4"/>
  <c r="R47" i="4"/>
  <c r="R48" i="4" s="1"/>
  <c r="R52" i="4"/>
  <c r="O5" i="4"/>
  <c r="O6" i="4" s="1"/>
  <c r="S26" i="4"/>
  <c r="R27" i="4"/>
  <c r="R24" i="4"/>
  <c r="R122" i="4"/>
  <c r="R123" i="4" s="1"/>
  <c r="R127" i="4"/>
  <c r="Q29" i="4"/>
  <c r="Q30" i="4" s="1"/>
  <c r="Q34" i="4"/>
  <c r="R104" i="4"/>
  <c r="R105" i="4" s="1"/>
  <c r="R109" i="4"/>
  <c r="R56" i="4"/>
  <c r="R57" i="4" s="1"/>
  <c r="R61" i="4"/>
  <c r="S63" i="4"/>
  <c r="S60" i="4"/>
  <c r="R16" i="4"/>
  <c r="R11" i="4"/>
  <c r="S44" i="4"/>
  <c r="R45" i="4"/>
  <c r="R42" i="4"/>
  <c r="P8" i="4"/>
  <c r="P154" i="4" s="1"/>
  <c r="P155" i="4" s="1"/>
  <c r="Q70" i="4"/>
  <c r="Q65" i="4"/>
  <c r="Q66" i="4" s="1"/>
  <c r="R86" i="4"/>
  <c r="R87" i="4" s="1"/>
  <c r="R91" i="4"/>
  <c r="S54" i="4"/>
  <c r="S51" i="4"/>
  <c r="Q12" i="4"/>
  <c r="R113" i="4"/>
  <c r="R114" i="4" s="1"/>
  <c r="R118" i="4"/>
  <c r="S120" i="4"/>
  <c r="S117" i="4"/>
  <c r="Q20" i="4"/>
  <c r="Q21" i="4" s="1"/>
  <c r="Q25" i="4"/>
  <c r="S129" i="4"/>
  <c r="S126" i="4"/>
  <c r="S35" i="4"/>
  <c r="R36" i="4"/>
  <c r="R33" i="4"/>
  <c r="S111" i="4"/>
  <c r="S108" i="4"/>
  <c r="S18" i="4"/>
  <c r="S15" i="4"/>
  <c r="Q38" i="4"/>
  <c r="Q39" i="4" s="1"/>
  <c r="Q43" i="4"/>
  <c r="R95" i="4"/>
  <c r="R96" i="4" s="1"/>
  <c r="R100" i="4"/>
  <c r="S102" i="4"/>
  <c r="S99" i="4"/>
  <c r="Q78" i="4"/>
  <c r="D48" i="8"/>
  <c r="D36" i="8"/>
  <c r="D40" i="8"/>
  <c r="J143" i="21" l="1"/>
  <c r="K143" i="21" s="1"/>
  <c r="L143" i="21" s="1"/>
  <c r="M143" i="21" s="1"/>
  <c r="N143" i="21" s="1"/>
  <c r="J141" i="21"/>
  <c r="K141" i="21" s="1"/>
  <c r="L141" i="21" s="1"/>
  <c r="M141" i="21" s="1"/>
  <c r="N141" i="21" s="1"/>
  <c r="R77" i="4"/>
  <c r="R78" i="4" s="1"/>
  <c r="S81" i="4"/>
  <c r="S82" i="4" s="1"/>
  <c r="P74" i="4"/>
  <c r="P156" i="4" s="1"/>
  <c r="P157" i="4" s="1"/>
  <c r="E15" i="12"/>
  <c r="E9" i="21"/>
  <c r="Q131" i="4"/>
  <c r="Q132" i="4" s="1"/>
  <c r="S137" i="4"/>
  <c r="S135" i="4" s="1"/>
  <c r="R135" i="4"/>
  <c r="R76" i="4" s="1"/>
  <c r="Q136" i="4"/>
  <c r="G23" i="15"/>
  <c r="G20" i="19"/>
  <c r="G44" i="19"/>
  <c r="M16" i="18"/>
  <c r="M12" i="18"/>
  <c r="N5" i="18"/>
  <c r="L5" i="19"/>
  <c r="K24" i="19"/>
  <c r="K21" i="19"/>
  <c r="K8" i="15" s="1"/>
  <c r="G10" i="19"/>
  <c r="G42" i="19"/>
  <c r="J83" i="21" s="1"/>
  <c r="K83" i="21" s="1"/>
  <c r="L83" i="21" s="1"/>
  <c r="M83" i="21" s="1"/>
  <c r="N83" i="21" s="1"/>
  <c r="G32" i="19"/>
  <c r="J78" i="21" s="1"/>
  <c r="K78" i="21" s="1"/>
  <c r="L78" i="21" s="1"/>
  <c r="M78" i="21" s="1"/>
  <c r="N78" i="21" s="1"/>
  <c r="G36" i="19"/>
  <c r="J80" i="21" s="1"/>
  <c r="K80" i="21" s="1"/>
  <c r="L80" i="21" s="1"/>
  <c r="M80" i="21" s="1"/>
  <c r="N80" i="21" s="1"/>
  <c r="G38" i="19"/>
  <c r="J81" i="21" s="1"/>
  <c r="K81" i="21" s="1"/>
  <c r="L81" i="21" s="1"/>
  <c r="M81" i="21" s="1"/>
  <c r="N81" i="21" s="1"/>
  <c r="G56" i="19"/>
  <c r="G54" i="19"/>
  <c r="G40" i="19"/>
  <c r="J82" i="21" s="1"/>
  <c r="K82" i="21" s="1"/>
  <c r="L82" i="21" s="1"/>
  <c r="M82" i="21" s="1"/>
  <c r="N82" i="21" s="1"/>
  <c r="G52" i="19"/>
  <c r="G48" i="19"/>
  <c r="G34" i="19"/>
  <c r="J79" i="21" s="1"/>
  <c r="K79" i="21" s="1"/>
  <c r="L79" i="21" s="1"/>
  <c r="M79" i="21" s="1"/>
  <c r="N79" i="21" s="1"/>
  <c r="G46" i="19"/>
  <c r="G50" i="19"/>
  <c r="G30" i="19"/>
  <c r="J77" i="21" s="1"/>
  <c r="K77" i="21" s="1"/>
  <c r="L77" i="21" s="1"/>
  <c r="M77" i="21" s="1"/>
  <c r="N77" i="21" s="1"/>
  <c r="Q7" i="4"/>
  <c r="R10" i="4"/>
  <c r="K7" i="19"/>
  <c r="F9" i="12"/>
  <c r="F17" i="12" s="1"/>
  <c r="F6" i="12"/>
  <c r="F8" i="12"/>
  <c r="G6" i="12"/>
  <c r="E23" i="12"/>
  <c r="E10" i="21" s="1"/>
  <c r="E19" i="12"/>
  <c r="O158" i="4"/>
  <c r="S100" i="4"/>
  <c r="S95" i="4"/>
  <c r="S96" i="4" s="1"/>
  <c r="S16" i="4"/>
  <c r="S11" i="4"/>
  <c r="S109" i="4"/>
  <c r="S104" i="4"/>
  <c r="S105" i="4" s="1"/>
  <c r="R34" i="4"/>
  <c r="R29" i="4"/>
  <c r="R30" i="4" s="1"/>
  <c r="S33" i="4"/>
  <c r="S36" i="4"/>
  <c r="R38" i="4"/>
  <c r="R39" i="4" s="1"/>
  <c r="R43" i="4"/>
  <c r="S45" i="4"/>
  <c r="S42" i="4"/>
  <c r="R65" i="4"/>
  <c r="R66" i="4" s="1"/>
  <c r="R70" i="4"/>
  <c r="S127" i="4"/>
  <c r="S122" i="4"/>
  <c r="S123" i="4" s="1"/>
  <c r="S118" i="4"/>
  <c r="S113" i="4"/>
  <c r="S114" i="4" s="1"/>
  <c r="Q8" i="4"/>
  <c r="Q154" i="4" s="1"/>
  <c r="Q155" i="4" s="1"/>
  <c r="S52" i="4"/>
  <c r="S47" i="4"/>
  <c r="S48" i="4" s="1"/>
  <c r="P9" i="4"/>
  <c r="R12" i="4"/>
  <c r="S61" i="4"/>
  <c r="S56" i="4"/>
  <c r="S57" i="4" s="1"/>
  <c r="R20" i="4"/>
  <c r="R21" i="4" s="1"/>
  <c r="R25" i="4"/>
  <c r="S27" i="4"/>
  <c r="S24" i="4"/>
  <c r="S91" i="4"/>
  <c r="S86" i="4"/>
  <c r="S87" i="4" s="1"/>
  <c r="S72" i="4"/>
  <c r="S69" i="4"/>
  <c r="P5" i="4" l="1"/>
  <c r="P6" i="4" s="1"/>
  <c r="S77" i="4"/>
  <c r="S78" i="4" s="1"/>
  <c r="Q74" i="4"/>
  <c r="Q75" i="4" s="1"/>
  <c r="S76" i="4"/>
  <c r="P75" i="4"/>
  <c r="S138" i="4"/>
  <c r="R136" i="4"/>
  <c r="R131" i="4"/>
  <c r="R132" i="4" s="1"/>
  <c r="K12" i="15"/>
  <c r="K13" i="15" s="1"/>
  <c r="K24" i="15" s="1"/>
  <c r="K26" i="19"/>
  <c r="K22" i="19"/>
  <c r="M5" i="19"/>
  <c r="O5" i="18"/>
  <c r="L24" i="19"/>
  <c r="L21" i="19"/>
  <c r="L8" i="15" s="1"/>
  <c r="L12" i="15" s="1"/>
  <c r="L13" i="15" s="1"/>
  <c r="L24" i="15" s="1"/>
  <c r="K25" i="19"/>
  <c r="N12" i="18"/>
  <c r="N16" i="18"/>
  <c r="R7" i="4"/>
  <c r="S10" i="4"/>
  <c r="L7" i="19"/>
  <c r="F16" i="12"/>
  <c r="F18" i="12" s="1"/>
  <c r="F14" i="12"/>
  <c r="F10" i="12"/>
  <c r="P158" i="4"/>
  <c r="O152" i="4"/>
  <c r="O159" i="4"/>
  <c r="R8" i="4"/>
  <c r="S70" i="4"/>
  <c r="S65" i="4"/>
  <c r="S66" i="4" s="1"/>
  <c r="S20" i="4"/>
  <c r="S21" i="4" s="1"/>
  <c r="S25" i="4"/>
  <c r="Q9" i="4"/>
  <c r="S136" i="4"/>
  <c r="S131" i="4"/>
  <c r="S43" i="4"/>
  <c r="S38" i="4"/>
  <c r="S39" i="4" s="1"/>
  <c r="S12" i="4"/>
  <c r="S29" i="4"/>
  <c r="S30" i="4" s="1"/>
  <c r="S34" i="4"/>
  <c r="Q156" i="4" l="1"/>
  <c r="Q157" i="4" s="1"/>
  <c r="Q5" i="4"/>
  <c r="Q6" i="4" s="1"/>
  <c r="R74" i="4"/>
  <c r="R75" i="4" s="1"/>
  <c r="F15" i="12"/>
  <c r="F9" i="21"/>
  <c r="S132" i="4"/>
  <c r="L26" i="19"/>
  <c r="L22" i="19"/>
  <c r="O16" i="18"/>
  <c r="O12" i="18"/>
  <c r="P5" i="18"/>
  <c r="N5" i="19"/>
  <c r="L25" i="19"/>
  <c r="M24" i="19"/>
  <c r="M21" i="19"/>
  <c r="M8" i="15" s="1"/>
  <c r="M12" i="15" s="1"/>
  <c r="M13" i="15" s="1"/>
  <c r="M24" i="15" s="1"/>
  <c r="S7" i="4"/>
  <c r="F19" i="12"/>
  <c r="F23" i="12"/>
  <c r="F10" i="21" s="1"/>
  <c r="R9" i="4"/>
  <c r="R154" i="4"/>
  <c r="R155" i="4" s="1"/>
  <c r="R156" i="4"/>
  <c r="P159" i="4"/>
  <c r="P152" i="4"/>
  <c r="O153" i="4"/>
  <c r="O160" i="4"/>
  <c r="K6" i="15" s="1"/>
  <c r="S8" i="4"/>
  <c r="S154" i="4" s="1"/>
  <c r="S155" i="4" s="1"/>
  <c r="S74" i="4"/>
  <c r="R5" i="4" l="1"/>
  <c r="R6" i="4" s="1"/>
  <c r="Q158" i="4"/>
  <c r="Q159" i="4" s="1"/>
  <c r="M7" i="19"/>
  <c r="M26" i="19" s="1"/>
  <c r="K14" i="15"/>
  <c r="K15" i="15" s="1"/>
  <c r="K10" i="15"/>
  <c r="M6" i="18"/>
  <c r="J5" i="12"/>
  <c r="J8" i="21" s="1"/>
  <c r="M22" i="19"/>
  <c r="O5" i="19"/>
  <c r="Q5" i="18"/>
  <c r="M25" i="19"/>
  <c r="P12" i="18"/>
  <c r="P16" i="18"/>
  <c r="N24" i="19"/>
  <c r="N21" i="19"/>
  <c r="N8" i="15" s="1"/>
  <c r="N12" i="15" s="1"/>
  <c r="N13" i="15" s="1"/>
  <c r="N24" i="15" s="1"/>
  <c r="K6" i="19"/>
  <c r="K44" i="19" s="1"/>
  <c r="P153" i="4"/>
  <c r="P160" i="4"/>
  <c r="L6" i="15" s="1"/>
  <c r="L10" i="15" s="1"/>
  <c r="R157" i="4"/>
  <c r="S75" i="4"/>
  <c r="S156" i="4"/>
  <c r="S157" i="4" s="1"/>
  <c r="S5" i="4"/>
  <c r="S9" i="4"/>
  <c r="S6" i="4" l="1"/>
  <c r="Q152" i="4"/>
  <c r="Q153" i="4" s="1"/>
  <c r="R158" i="4"/>
  <c r="R159" i="4" s="1"/>
  <c r="N7" i="19"/>
  <c r="N26" i="19" s="1"/>
  <c r="K9" i="15"/>
  <c r="K11" i="15"/>
  <c r="K23" i="15" s="1"/>
  <c r="L14" i="15"/>
  <c r="L15" i="15" s="1"/>
  <c r="L11" i="15"/>
  <c r="L23" i="15" s="1"/>
  <c r="N6" i="18"/>
  <c r="K5" i="12"/>
  <c r="K8" i="21" s="1"/>
  <c r="K48" i="19"/>
  <c r="K50" i="19"/>
  <c r="K56" i="19"/>
  <c r="K54" i="19"/>
  <c r="K52" i="19"/>
  <c r="K46" i="19"/>
  <c r="K39" i="19"/>
  <c r="K40" i="19" s="1"/>
  <c r="K35" i="19"/>
  <c r="K36" i="19" s="1"/>
  <c r="K31" i="19"/>
  <c r="K29" i="19"/>
  <c r="K30" i="19" s="1"/>
  <c r="K37" i="19"/>
  <c r="K38" i="19" s="1"/>
  <c r="K33" i="19"/>
  <c r="K34" i="19" s="1"/>
  <c r="K41" i="19"/>
  <c r="K42" i="19" s="1"/>
  <c r="N22" i="19"/>
  <c r="N25" i="19"/>
  <c r="Q16" i="18"/>
  <c r="Q12" i="18"/>
  <c r="O24" i="19"/>
  <c r="O21" i="19"/>
  <c r="O8" i="15" s="1"/>
  <c r="O12" i="15" s="1"/>
  <c r="O13" i="15" s="1"/>
  <c r="O24" i="15" s="1"/>
  <c r="J6" i="12"/>
  <c r="O7" i="19"/>
  <c r="L6" i="19"/>
  <c r="L44" i="19" s="1"/>
  <c r="S158" i="4"/>
  <c r="R152" i="4" l="1"/>
  <c r="Q160" i="4"/>
  <c r="M6" i="15" s="1"/>
  <c r="M14" i="15" s="1"/>
  <c r="M15" i="15" s="1"/>
  <c r="L9" i="15"/>
  <c r="M10" i="15"/>
  <c r="O6" i="18"/>
  <c r="L5" i="12"/>
  <c r="L8" i="21" s="1"/>
  <c r="L48" i="19"/>
  <c r="L52" i="19"/>
  <c r="L54" i="19"/>
  <c r="L56" i="19"/>
  <c r="L50" i="19"/>
  <c r="L46" i="19"/>
  <c r="O26" i="19"/>
  <c r="K19" i="19"/>
  <c r="L33" i="19"/>
  <c r="L34" i="19" s="1"/>
  <c r="L39" i="19"/>
  <c r="L40" i="19" s="1"/>
  <c r="L35" i="19"/>
  <c r="L36" i="19" s="1"/>
  <c r="L29" i="19"/>
  <c r="L30" i="19" s="1"/>
  <c r="L37" i="19"/>
  <c r="L38" i="19" s="1"/>
  <c r="L31" i="19"/>
  <c r="L41" i="19"/>
  <c r="L42" i="19" s="1"/>
  <c r="K32" i="19"/>
  <c r="O22" i="19"/>
  <c r="O25" i="19"/>
  <c r="K6" i="12"/>
  <c r="M6" i="19"/>
  <c r="M44" i="19" s="1"/>
  <c r="S152" i="4"/>
  <c r="S159" i="4"/>
  <c r="R153" i="4"/>
  <c r="R160" i="4"/>
  <c r="N6" i="15" s="1"/>
  <c r="N10" i="15" s="1"/>
  <c r="N11" i="15" l="1"/>
  <c r="N23" i="15" s="1"/>
  <c r="K20" i="19"/>
  <c r="K7" i="15"/>
  <c r="M9" i="15"/>
  <c r="M11" i="15"/>
  <c r="M23" i="15" s="1"/>
  <c r="N14" i="15"/>
  <c r="N15" i="15" s="1"/>
  <c r="L19" i="19"/>
  <c r="P6" i="18"/>
  <c r="M5" i="12"/>
  <c r="M8" i="21" s="1"/>
  <c r="M48" i="19"/>
  <c r="M56" i="19"/>
  <c r="M54" i="19"/>
  <c r="M52" i="19"/>
  <c r="M50" i="19"/>
  <c r="M46" i="19"/>
  <c r="M39" i="19"/>
  <c r="M40" i="19" s="1"/>
  <c r="M35" i="19"/>
  <c r="M36" i="19" s="1"/>
  <c r="M29" i="19"/>
  <c r="M30" i="19" s="1"/>
  <c r="M33" i="19"/>
  <c r="M34" i="19" s="1"/>
  <c r="M31" i="19"/>
  <c r="M37" i="19"/>
  <c r="M38" i="19" s="1"/>
  <c r="M41" i="19"/>
  <c r="M42" i="19" s="1"/>
  <c r="L32" i="19"/>
  <c r="L6" i="12"/>
  <c r="N6" i="19"/>
  <c r="N44" i="19" s="1"/>
  <c r="S153" i="4"/>
  <c r="S160" i="4"/>
  <c r="N9" i="15" l="1"/>
  <c r="N5" i="12"/>
  <c r="N8" i="21" s="1"/>
  <c r="O6" i="15"/>
  <c r="L20" i="19"/>
  <c r="L7" i="15"/>
  <c r="L19" i="15" s="1"/>
  <c r="L20" i="15" s="1"/>
  <c r="K19" i="15"/>
  <c r="K20" i="15" s="1"/>
  <c r="K17" i="15"/>
  <c r="M19" i="19"/>
  <c r="M7" i="15" s="1"/>
  <c r="N48" i="19"/>
  <c r="N50" i="19"/>
  <c r="N52" i="19"/>
  <c r="N54" i="19"/>
  <c r="N56" i="19"/>
  <c r="N46" i="19"/>
  <c r="N33" i="19"/>
  <c r="N34" i="19" s="1"/>
  <c r="N39" i="19"/>
  <c r="N40" i="19" s="1"/>
  <c r="N35" i="19"/>
  <c r="N36" i="19" s="1"/>
  <c r="N29" i="19"/>
  <c r="N30" i="19" s="1"/>
  <c r="N31" i="19"/>
  <c r="N37" i="19"/>
  <c r="N38" i="19" s="1"/>
  <c r="N41" i="19"/>
  <c r="N42" i="19" s="1"/>
  <c r="M32" i="19"/>
  <c r="M6" i="12"/>
  <c r="O6" i="19"/>
  <c r="O44" i="19" s="1"/>
  <c r="Q6" i="18"/>
  <c r="N6" i="12" l="1"/>
  <c r="L17" i="15"/>
  <c r="L16" i="15" s="1"/>
  <c r="L21" i="15" s="1"/>
  <c r="M20" i="19"/>
  <c r="K18" i="15"/>
  <c r="K25" i="15" s="1"/>
  <c r="K16" i="15"/>
  <c r="K21" i="15" s="1"/>
  <c r="K22" i="15" s="1"/>
  <c r="J22" i="12" s="1"/>
  <c r="M19" i="15"/>
  <c r="M20" i="15" s="1"/>
  <c r="M17" i="15"/>
  <c r="O14" i="15"/>
  <c r="O15" i="15" s="1"/>
  <c r="O10" i="15"/>
  <c r="N19" i="19"/>
  <c r="O48" i="19"/>
  <c r="O56" i="19"/>
  <c r="O54" i="19"/>
  <c r="O50" i="19"/>
  <c r="O52" i="19"/>
  <c r="O46" i="19"/>
  <c r="O39" i="19"/>
  <c r="O40" i="19" s="1"/>
  <c r="O35" i="19"/>
  <c r="O36" i="19" s="1"/>
  <c r="O31" i="19"/>
  <c r="O29" i="19"/>
  <c r="O30" i="19" s="1"/>
  <c r="O33" i="19"/>
  <c r="O34" i="19" s="1"/>
  <c r="O37" i="19"/>
  <c r="O38" i="19" s="1"/>
  <c r="O41" i="19"/>
  <c r="O42" i="19" s="1"/>
  <c r="N32" i="19"/>
  <c r="J26" i="17"/>
  <c r="L18" i="15" l="1"/>
  <c r="L25" i="15" s="1"/>
  <c r="L22" i="15"/>
  <c r="K22" i="12" s="1"/>
  <c r="N20" i="19"/>
  <c r="N7" i="15"/>
  <c r="O9" i="15"/>
  <c r="O11" i="15"/>
  <c r="O23" i="15" s="1"/>
  <c r="M18" i="15"/>
  <c r="M25" i="15" s="1"/>
  <c r="M16" i="15"/>
  <c r="M21" i="15" s="1"/>
  <c r="M22" i="15" s="1"/>
  <c r="L22" i="12" s="1"/>
  <c r="O19" i="19"/>
  <c r="O32" i="19"/>
  <c r="Q12" i="17"/>
  <c r="S12" i="17" s="1"/>
  <c r="J20" i="18" s="1"/>
  <c r="Q20" i="17"/>
  <c r="S20" i="17" s="1"/>
  <c r="J52" i="18" s="1"/>
  <c r="Q16" i="17"/>
  <c r="S16" i="17" s="1"/>
  <c r="J38" i="18" s="1"/>
  <c r="Q18" i="17"/>
  <c r="S18" i="17" s="1"/>
  <c r="J45" i="18" s="1"/>
  <c r="Q14" i="17"/>
  <c r="S14" i="17" s="1"/>
  <c r="J29" i="18" s="1"/>
  <c r="Q19" i="17"/>
  <c r="S19" i="17" s="1"/>
  <c r="J48" i="18" s="1"/>
  <c r="J50" i="18" s="1"/>
  <c r="K50" i="18" s="1"/>
  <c r="Q15" i="17"/>
  <c r="S15" i="17" s="1"/>
  <c r="J33" i="18" s="1"/>
  <c r="J36" i="18" s="1"/>
  <c r="K36" i="18" s="1"/>
  <c r="Q11" i="17"/>
  <c r="S11" i="17" s="1"/>
  <c r="J15" i="18" s="1"/>
  <c r="J18" i="18" s="1"/>
  <c r="K18" i="18" s="1"/>
  <c r="Q21" i="17"/>
  <c r="S21" i="17" s="1"/>
  <c r="J55" i="18" s="1"/>
  <c r="J57" i="18" s="1"/>
  <c r="K57" i="18" s="1"/>
  <c r="Q17" i="17"/>
  <c r="S17" i="17" s="1"/>
  <c r="J41" i="18" s="1"/>
  <c r="J43" i="18" s="1"/>
  <c r="K43" i="18" s="1"/>
  <c r="Q10" i="17"/>
  <c r="Q13" i="17"/>
  <c r="S13" i="17" s="1"/>
  <c r="J24" i="18" s="1"/>
  <c r="J27" i="18" s="1"/>
  <c r="K27" i="18" s="1"/>
  <c r="O20" i="19" l="1"/>
  <c r="O7" i="15"/>
  <c r="O19" i="15" s="1"/>
  <c r="O20" i="15" s="1"/>
  <c r="N17" i="15"/>
  <c r="N19" i="15"/>
  <c r="N20" i="15" s="1"/>
  <c r="L27" i="18"/>
  <c r="J114" i="21" s="1"/>
  <c r="K114" i="21" s="1"/>
  <c r="L114" i="21" s="1"/>
  <c r="M114" i="21" s="1"/>
  <c r="N114" i="21" s="1"/>
  <c r="K24" i="18"/>
  <c r="L43" i="18"/>
  <c r="J124" i="21" s="1"/>
  <c r="K124" i="21" s="1"/>
  <c r="L124" i="21" s="1"/>
  <c r="M124" i="21" s="1"/>
  <c r="N124" i="21" s="1"/>
  <c r="K41" i="18"/>
  <c r="L18" i="18"/>
  <c r="J109" i="21" s="1"/>
  <c r="K109" i="21" s="1"/>
  <c r="L109" i="21" s="1"/>
  <c r="M109" i="21" s="1"/>
  <c r="N109" i="21" s="1"/>
  <c r="K15" i="18"/>
  <c r="L50" i="18"/>
  <c r="J129" i="21" s="1"/>
  <c r="K129" i="21" s="1"/>
  <c r="L129" i="21" s="1"/>
  <c r="M129" i="21" s="1"/>
  <c r="N129" i="21" s="1"/>
  <c r="K48" i="18"/>
  <c r="L57" i="18"/>
  <c r="J134" i="21" s="1"/>
  <c r="K134" i="21" s="1"/>
  <c r="L134" i="21" s="1"/>
  <c r="M134" i="21" s="1"/>
  <c r="N134" i="21" s="1"/>
  <c r="K55" i="18"/>
  <c r="L36" i="18"/>
  <c r="J119" i="21" s="1"/>
  <c r="K119" i="21" s="1"/>
  <c r="L119" i="21" s="1"/>
  <c r="M119" i="21" s="1"/>
  <c r="N119" i="21" s="1"/>
  <c r="K33" i="18"/>
  <c r="S10" i="17"/>
  <c r="Q22" i="17"/>
  <c r="J28" i="18"/>
  <c r="J32" i="18"/>
  <c r="K32" i="18" s="1"/>
  <c r="J40" i="18"/>
  <c r="K40" i="18" s="1"/>
  <c r="J37" i="18"/>
  <c r="J23" i="18"/>
  <c r="K23" i="18" s="1"/>
  <c r="J19" i="18"/>
  <c r="J44" i="18"/>
  <c r="J47" i="18"/>
  <c r="K47" i="18" s="1"/>
  <c r="J54" i="18"/>
  <c r="K54" i="18" s="1"/>
  <c r="J51" i="18"/>
  <c r="J11" i="18" l="1"/>
  <c r="S22" i="17"/>
  <c r="S23" i="17" s="1"/>
  <c r="O17" i="15"/>
  <c r="O18" i="15" s="1"/>
  <c r="O25" i="15" s="1"/>
  <c r="N16" i="15"/>
  <c r="N21" i="15" s="1"/>
  <c r="N22" i="15" s="1"/>
  <c r="M22" i="12" s="1"/>
  <c r="N18" i="15"/>
  <c r="N25" i="15" s="1"/>
  <c r="L55" i="18"/>
  <c r="L48" i="18"/>
  <c r="L41" i="18"/>
  <c r="L33" i="18"/>
  <c r="L24" i="18"/>
  <c r="L15" i="18"/>
  <c r="L47" i="18"/>
  <c r="J127" i="21" s="1"/>
  <c r="K127" i="21" s="1"/>
  <c r="L127" i="21" s="1"/>
  <c r="M127" i="21" s="1"/>
  <c r="N127" i="21" s="1"/>
  <c r="K45" i="18"/>
  <c r="K44" i="18" s="1"/>
  <c r="L32" i="18"/>
  <c r="J117" i="21" s="1"/>
  <c r="K117" i="21" s="1"/>
  <c r="L117" i="21" s="1"/>
  <c r="M117" i="21" s="1"/>
  <c r="N117" i="21" s="1"/>
  <c r="K29" i="18"/>
  <c r="K28" i="18" s="1"/>
  <c r="L54" i="18"/>
  <c r="J132" i="21" s="1"/>
  <c r="K132" i="21" s="1"/>
  <c r="L132" i="21" s="1"/>
  <c r="M132" i="21" s="1"/>
  <c r="N132" i="21" s="1"/>
  <c r="K52" i="18"/>
  <c r="K51" i="18" s="1"/>
  <c r="L23" i="18"/>
  <c r="J112" i="21" s="1"/>
  <c r="K112" i="21" s="1"/>
  <c r="L112" i="21" s="1"/>
  <c r="M112" i="21" s="1"/>
  <c r="N112" i="21" s="1"/>
  <c r="K20" i="18"/>
  <c r="K19" i="18" s="1"/>
  <c r="L40" i="18"/>
  <c r="J122" i="21" s="1"/>
  <c r="K122" i="21" s="1"/>
  <c r="L122" i="21" s="1"/>
  <c r="M122" i="21" s="1"/>
  <c r="N122" i="21" s="1"/>
  <c r="K38" i="18"/>
  <c r="K37" i="18" s="1"/>
  <c r="J10" i="18"/>
  <c r="J9" i="18" s="1"/>
  <c r="J14" i="18"/>
  <c r="O16" i="15" l="1"/>
  <c r="O21" i="15" s="1"/>
  <c r="O22" i="15" s="1"/>
  <c r="N22" i="12" s="1"/>
  <c r="J62" i="18"/>
  <c r="J63" i="18" s="1"/>
  <c r="H11" i="19"/>
  <c r="H9" i="19" s="1"/>
  <c r="J59" i="18"/>
  <c r="J61" i="18"/>
  <c r="M43" i="18"/>
  <c r="M41" i="18" s="1"/>
  <c r="M50" i="18"/>
  <c r="M48" i="18" s="1"/>
  <c r="M57" i="18"/>
  <c r="M55" i="18" s="1"/>
  <c r="L38" i="18"/>
  <c r="L37" i="18" s="1"/>
  <c r="L52" i="18"/>
  <c r="L51" i="18" s="1"/>
  <c r="L45" i="18"/>
  <c r="L44" i="18" s="1"/>
  <c r="M36" i="18"/>
  <c r="M33" i="18" s="1"/>
  <c r="L29" i="18"/>
  <c r="L28" i="18" s="1"/>
  <c r="M27" i="18"/>
  <c r="M24" i="18" s="1"/>
  <c r="L20" i="18"/>
  <c r="L19" i="18" s="1"/>
  <c r="M18" i="18"/>
  <c r="M15" i="18" s="1"/>
  <c r="K14" i="18"/>
  <c r="K11" i="18" s="1"/>
  <c r="K10" i="18" s="1"/>
  <c r="K9" i="18" s="1"/>
  <c r="H57" i="19" l="1"/>
  <c r="H15" i="19"/>
  <c r="H10" i="19"/>
  <c r="I11" i="19"/>
  <c r="I9" i="19" s="1"/>
  <c r="K62" i="18"/>
  <c r="K59" i="18"/>
  <c r="K61" i="18"/>
  <c r="M47" i="18"/>
  <c r="M45" i="18" s="1"/>
  <c r="M44" i="18" s="1"/>
  <c r="M54" i="18"/>
  <c r="M52" i="18" s="1"/>
  <c r="M51" i="18" s="1"/>
  <c r="M40" i="18"/>
  <c r="M38" i="18" s="1"/>
  <c r="N43" i="18"/>
  <c r="N41" i="18" s="1"/>
  <c r="N57" i="18"/>
  <c r="N55" i="18" s="1"/>
  <c r="N50" i="18"/>
  <c r="N48" i="18" s="1"/>
  <c r="M37" i="18"/>
  <c r="N36" i="18"/>
  <c r="N33" i="18" s="1"/>
  <c r="M32" i="18"/>
  <c r="M29" i="18" s="1"/>
  <c r="M28" i="18" s="1"/>
  <c r="N27" i="18"/>
  <c r="N24" i="18" s="1"/>
  <c r="M23" i="18"/>
  <c r="M20" i="18" s="1"/>
  <c r="M19" i="18" s="1"/>
  <c r="N18" i="18"/>
  <c r="N15" i="18" s="1"/>
  <c r="L14" i="18"/>
  <c r="J107" i="21" s="1"/>
  <c r="K107" i="21" s="1"/>
  <c r="L107" i="21" s="1"/>
  <c r="M107" i="21" s="1"/>
  <c r="N107" i="21" s="1"/>
  <c r="H58" i="19" l="1"/>
  <c r="G7" i="12"/>
  <c r="I15" i="19"/>
  <c r="I57" i="19"/>
  <c r="H7" i="12" s="1"/>
  <c r="I10" i="19"/>
  <c r="N40" i="18"/>
  <c r="N38" i="18" s="1"/>
  <c r="N37" i="18" s="1"/>
  <c r="O50" i="18"/>
  <c r="O48" i="18" s="1"/>
  <c r="O57" i="18"/>
  <c r="O55" i="18" s="1"/>
  <c r="O43" i="18"/>
  <c r="O41" i="18" s="1"/>
  <c r="N54" i="18"/>
  <c r="N52" i="18" s="1"/>
  <c r="N51" i="18" s="1"/>
  <c r="N47" i="18"/>
  <c r="N45" i="18" s="1"/>
  <c r="N44" i="18" s="1"/>
  <c r="N32" i="18"/>
  <c r="N29" i="18" s="1"/>
  <c r="N28" i="18" s="1"/>
  <c r="O36" i="18"/>
  <c r="O33" i="18" s="1"/>
  <c r="O27" i="18"/>
  <c r="O24" i="18" s="1"/>
  <c r="N23" i="18"/>
  <c r="N20" i="18" s="1"/>
  <c r="N19" i="18" s="1"/>
  <c r="L11" i="18"/>
  <c r="L10" i="18" s="1"/>
  <c r="L9" i="18" s="1"/>
  <c r="O18" i="18"/>
  <c r="O15" i="18" s="1"/>
  <c r="H9" i="12" l="1"/>
  <c r="H8" i="12"/>
  <c r="G8" i="12"/>
  <c r="G9" i="12"/>
  <c r="L62" i="18"/>
  <c r="J11" i="19"/>
  <c r="J9" i="19" s="1"/>
  <c r="L59" i="18"/>
  <c r="L61" i="18"/>
  <c r="J137" i="21" s="1"/>
  <c r="O47" i="18"/>
  <c r="O45" i="18" s="1"/>
  <c r="O44" i="18" s="1"/>
  <c r="O54" i="18"/>
  <c r="O52" i="18" s="1"/>
  <c r="O51" i="18" s="1"/>
  <c r="Q43" i="18"/>
  <c r="Q41" i="18" s="1"/>
  <c r="P43" i="18"/>
  <c r="P41" i="18" s="1"/>
  <c r="Q57" i="18"/>
  <c r="Q55" i="18" s="1"/>
  <c r="P57" i="18"/>
  <c r="P55" i="18" s="1"/>
  <c r="P50" i="18"/>
  <c r="P48" i="18" s="1"/>
  <c r="Q50" i="18"/>
  <c r="Q48" i="18" s="1"/>
  <c r="O40" i="18"/>
  <c r="O38" i="18" s="1"/>
  <c r="O37" i="18" s="1"/>
  <c r="P36" i="18"/>
  <c r="P33" i="18" s="1"/>
  <c r="Q36" i="18"/>
  <c r="Q33" i="18" s="1"/>
  <c r="O32" i="18"/>
  <c r="O29" i="18" s="1"/>
  <c r="O28" i="18" s="1"/>
  <c r="Q27" i="18"/>
  <c r="Q24" i="18" s="1"/>
  <c r="P27" i="18"/>
  <c r="P24" i="18" s="1"/>
  <c r="O23" i="18"/>
  <c r="O20" i="18" s="1"/>
  <c r="O19" i="18" s="1"/>
  <c r="M14" i="18"/>
  <c r="M11" i="18" s="1"/>
  <c r="Q18" i="18"/>
  <c r="Q15" i="18" s="1"/>
  <c r="P18" i="18"/>
  <c r="P15" i="18" s="1"/>
  <c r="G17" i="12" l="1"/>
  <c r="G16" i="12" s="1"/>
  <c r="G18" i="12" s="1"/>
  <c r="G10" i="12"/>
  <c r="G14" i="12"/>
  <c r="H17" i="12"/>
  <c r="H10" i="12"/>
  <c r="H16" i="12"/>
  <c r="H18" i="12" s="1"/>
  <c r="H14" i="12"/>
  <c r="J15" i="19"/>
  <c r="J57" i="19"/>
  <c r="I7" i="12" s="1"/>
  <c r="J10" i="19"/>
  <c r="M10" i="18"/>
  <c r="M9" i="18" s="1"/>
  <c r="M60" i="18"/>
  <c r="Q40" i="18"/>
  <c r="Q38" i="18" s="1"/>
  <c r="Q37" i="18" s="1"/>
  <c r="P40" i="18"/>
  <c r="P38" i="18" s="1"/>
  <c r="P37" i="18" s="1"/>
  <c r="P54" i="18"/>
  <c r="P52" i="18" s="1"/>
  <c r="P51" i="18" s="1"/>
  <c r="Q54" i="18"/>
  <c r="Q52" i="18" s="1"/>
  <c r="Q51" i="18" s="1"/>
  <c r="Q47" i="18"/>
  <c r="Q45" i="18" s="1"/>
  <c r="Q44" i="18" s="1"/>
  <c r="P47" i="18"/>
  <c r="P45" i="18" s="1"/>
  <c r="P44" i="18" s="1"/>
  <c r="Q32" i="18"/>
  <c r="Q29" i="18" s="1"/>
  <c r="Q28" i="18" s="1"/>
  <c r="P32" i="18"/>
  <c r="P29" i="18" s="1"/>
  <c r="P28" i="18" s="1"/>
  <c r="Q23" i="18"/>
  <c r="Q20" i="18" s="1"/>
  <c r="Q19" i="18" s="1"/>
  <c r="P23" i="18"/>
  <c r="P20" i="18" s="1"/>
  <c r="P19" i="18" s="1"/>
  <c r="N14" i="18"/>
  <c r="N11" i="18" s="1"/>
  <c r="H19" i="12" l="1"/>
  <c r="H23" i="12"/>
  <c r="G19" i="12"/>
  <c r="G23" i="12"/>
  <c r="G10" i="21" s="1"/>
  <c r="I9" i="12"/>
  <c r="I8" i="12"/>
  <c r="H9" i="21"/>
  <c r="H15" i="12"/>
  <c r="G9" i="21"/>
  <c r="G15" i="12"/>
  <c r="M58" i="18"/>
  <c r="M62" i="18" s="1"/>
  <c r="K11" i="19"/>
  <c r="M61" i="18"/>
  <c r="K13" i="19"/>
  <c r="N10" i="18"/>
  <c r="N9" i="18" s="1"/>
  <c r="O14" i="18"/>
  <c r="O11" i="18" s="1"/>
  <c r="O10" i="18" s="1"/>
  <c r="O9" i="18" s="1"/>
  <c r="K137" i="21" l="1"/>
  <c r="N60" i="18" s="1"/>
  <c r="H10" i="21"/>
  <c r="H27" i="12"/>
  <c r="I14" i="12"/>
  <c r="I17" i="12"/>
  <c r="I16" i="12" s="1"/>
  <c r="I18" i="12" s="1"/>
  <c r="I10" i="12"/>
  <c r="O58" i="18"/>
  <c r="M11" i="19"/>
  <c r="N58" i="18"/>
  <c r="L11" i="19"/>
  <c r="M59" i="18"/>
  <c r="K12" i="19"/>
  <c r="K9" i="19" s="1"/>
  <c r="K14" i="19" s="1"/>
  <c r="K15" i="19" s="1"/>
  <c r="Q14" i="18"/>
  <c r="Q11" i="18" s="1"/>
  <c r="Q10" i="18" s="1"/>
  <c r="Q9" i="18" s="1"/>
  <c r="P14" i="18"/>
  <c r="P11" i="18" s="1"/>
  <c r="P10" i="18" s="1"/>
  <c r="P9" i="18" s="1"/>
  <c r="N61" i="18" l="1"/>
  <c r="L13" i="19"/>
  <c r="N62" i="18"/>
  <c r="I9" i="21"/>
  <c r="I15" i="12"/>
  <c r="I23" i="12"/>
  <c r="I10" i="21" s="1"/>
  <c r="I19" i="12"/>
  <c r="K10" i="19"/>
  <c r="K57" i="19"/>
  <c r="J7" i="12" s="1"/>
  <c r="P58" i="18"/>
  <c r="N11" i="19"/>
  <c r="N59" i="18"/>
  <c r="L12" i="19"/>
  <c r="Q58" i="18"/>
  <c r="O11" i="19"/>
  <c r="O59" i="18"/>
  <c r="M12" i="19"/>
  <c r="L23" i="19"/>
  <c r="N23" i="19"/>
  <c r="K23" i="19"/>
  <c r="M23" i="19"/>
  <c r="O23" i="19"/>
  <c r="L9" i="19" l="1"/>
  <c r="L14" i="19" s="1"/>
  <c r="L15" i="19" s="1"/>
  <c r="L137" i="21"/>
  <c r="O60" i="18" s="1"/>
  <c r="J8" i="12"/>
  <c r="J9" i="12"/>
  <c r="Q59" i="18"/>
  <c r="O12" i="19"/>
  <c r="P59" i="18"/>
  <c r="N12" i="19"/>
  <c r="L10" i="19" l="1"/>
  <c r="L57" i="19"/>
  <c r="K7" i="12" s="1"/>
  <c r="K9" i="12" s="1"/>
  <c r="M13" i="19"/>
  <c r="M9" i="19" s="1"/>
  <c r="M14" i="19" s="1"/>
  <c r="M15" i="19" s="1"/>
  <c r="O61" i="18"/>
  <c r="O62" i="18"/>
  <c r="K8" i="12"/>
  <c r="J17" i="12"/>
  <c r="J16" i="12" s="1"/>
  <c r="J18" i="12" s="1"/>
  <c r="J14" i="12"/>
  <c r="J10" i="12"/>
  <c r="M57" i="19" l="1"/>
  <c r="L7" i="12" s="1"/>
  <c r="L8" i="12" s="1"/>
  <c r="M10" i="19"/>
  <c r="M137" i="21"/>
  <c r="P60" i="18" s="1"/>
  <c r="J15" i="12"/>
  <c r="J9" i="21"/>
  <c r="J19" i="12"/>
  <c r="J23" i="12"/>
  <c r="K17" i="12"/>
  <c r="K16" i="12" s="1"/>
  <c r="K18" i="12" s="1"/>
  <c r="K14" i="12"/>
  <c r="K10" i="12"/>
  <c r="L9" i="12" l="1"/>
  <c r="L14" i="12" s="1"/>
  <c r="P61" i="18"/>
  <c r="P62" i="18"/>
  <c r="N13" i="19"/>
  <c r="N9" i="19" s="1"/>
  <c r="K15" i="12"/>
  <c r="K9" i="21"/>
  <c r="J27" i="12"/>
  <c r="J10" i="21"/>
  <c r="K19" i="12"/>
  <c r="K23" i="12"/>
  <c r="L17" i="12" l="1"/>
  <c r="L16" i="12" s="1"/>
  <c r="L18" i="12" s="1"/>
  <c r="L10" i="12"/>
  <c r="N14" i="19"/>
  <c r="N15" i="19" s="1"/>
  <c r="N10" i="19"/>
  <c r="N137" i="21"/>
  <c r="Q60" i="18" s="1"/>
  <c r="L15" i="12"/>
  <c r="L9" i="21"/>
  <c r="K27" i="12"/>
  <c r="K10" i="21"/>
  <c r="L19" i="12"/>
  <c r="L23" i="12"/>
  <c r="N57" i="19" l="1"/>
  <c r="M7" i="12" s="1"/>
  <c r="M9" i="12" s="1"/>
  <c r="O13" i="19"/>
  <c r="O9" i="19" s="1"/>
  <c r="Q61" i="18"/>
  <c r="Q62" i="18"/>
  <c r="M8" i="12"/>
  <c r="L27" i="12"/>
  <c r="L10" i="21"/>
  <c r="M17" i="12" l="1"/>
  <c r="M16" i="12" s="1"/>
  <c r="M18" i="12" s="1"/>
  <c r="M10" i="12"/>
  <c r="M14" i="12"/>
  <c r="O14" i="19"/>
  <c r="O15" i="19" s="1"/>
  <c r="O10" i="19"/>
  <c r="O57" i="19" l="1"/>
  <c r="N7" i="12" s="1"/>
  <c r="M9" i="21"/>
  <c r="M15" i="12"/>
  <c r="M19" i="12"/>
  <c r="M23" i="12"/>
  <c r="M27" i="12" l="1"/>
  <c r="M10" i="21"/>
  <c r="N9" i="12"/>
  <c r="N8" i="12"/>
  <c r="N17" i="12" l="1"/>
  <c r="N16" i="12" s="1"/>
  <c r="N18" i="12" s="1"/>
  <c r="N14" i="12"/>
  <c r="N10" i="12"/>
  <c r="N9" i="21" l="1"/>
  <c r="N15" i="12"/>
  <c r="E35" i="12"/>
  <c r="N19" i="12"/>
  <c r="N23" i="12"/>
  <c r="N27" i="12" l="1"/>
  <c r="E34" i="12" s="1"/>
  <c r="E36" i="12" s="1"/>
  <c r="E39" i="12" s="1"/>
  <c r="N10" i="21"/>
  <c r="E43" i="12" l="1"/>
  <c r="C3" i="21"/>
  <c r="H34" i="12" l="1"/>
  <c r="C4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taeminyang</author>
  </authors>
  <commentList>
    <comment ref="K18" authorId="0" shapeId="0" xr:uid="{B9B383B9-1012-4F72-B35E-78A1D1A40878}">
      <text>
        <r>
          <rPr>
            <b/>
            <sz val="9"/>
            <color indexed="81"/>
            <rFont val="Tahoma"/>
            <family val="2"/>
          </rPr>
          <t>taeminyang: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사업결합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취득은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취득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가정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taeminyang</author>
  </authors>
  <commentList>
    <comment ref="J11" authorId="0" shapeId="0" xr:uid="{46F6F003-CD31-414C-B1BE-D03B637D7D5B}">
      <text>
        <r>
          <rPr>
            <b/>
            <sz val="9"/>
            <color indexed="81"/>
            <rFont val="Tahoma"/>
            <family val="2"/>
          </rPr>
          <t>taeminyang: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손익계산서와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종업원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상세내역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급여차이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taeminyang</author>
  </authors>
  <commentList>
    <comment ref="I42" authorId="0" shapeId="0" xr:uid="{B7E44D49-B330-46EB-9FA2-8A66A42CB987}">
      <text>
        <r>
          <rPr>
            <b/>
            <sz val="9"/>
            <color indexed="81"/>
            <rFont val="Tahoma"/>
            <family val="2"/>
          </rPr>
          <t>taeminyang: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판매대수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연환산</t>
        </r>
        <r>
          <rPr>
            <sz val="9"/>
            <color indexed="81"/>
            <rFont val="Tahoma"/>
            <family val="2"/>
          </rPr>
          <t xml:space="preserve">(*2)
</t>
        </r>
      </text>
    </comment>
    <comment ref="I47" authorId="0" shapeId="0" xr:uid="{9CB6583A-2FEF-4FC2-B099-BE4AED4F4934}">
      <text>
        <r>
          <rPr>
            <b/>
            <sz val="9"/>
            <color indexed="81"/>
            <rFont val="Tahoma"/>
            <family val="2"/>
          </rPr>
          <t>taeminyang: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판매대수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연환산</t>
        </r>
        <r>
          <rPr>
            <sz val="9"/>
            <color indexed="81"/>
            <rFont val="Tahoma"/>
            <family val="2"/>
          </rPr>
          <t>(*2)</t>
        </r>
      </text>
    </comment>
  </commentList>
</comments>
</file>

<file path=xl/sharedStrings.xml><?xml version="1.0" encoding="utf-8"?>
<sst xmlns="http://schemas.openxmlformats.org/spreadsheetml/2006/main" count="1338" uniqueCount="644">
  <si>
    <t>Index</t>
    <phoneticPr fontId="2" type="noConversion"/>
  </si>
  <si>
    <t>구분</t>
    <phoneticPr fontId="2" type="noConversion"/>
  </si>
  <si>
    <t>Sheet</t>
    <phoneticPr fontId="2" type="noConversion"/>
  </si>
  <si>
    <t>Link</t>
    <phoneticPr fontId="2" type="noConversion"/>
  </si>
  <si>
    <t>Overall</t>
    <phoneticPr fontId="2" type="noConversion"/>
  </si>
  <si>
    <t>Control</t>
  </si>
  <si>
    <t>DCF</t>
    <phoneticPr fontId="2" type="noConversion"/>
  </si>
  <si>
    <t>Sales</t>
    <phoneticPr fontId="2" type="noConversion"/>
  </si>
  <si>
    <t>Sales Bridge</t>
    <phoneticPr fontId="2" type="noConversion"/>
  </si>
  <si>
    <t>Cost</t>
    <phoneticPr fontId="2" type="noConversion"/>
  </si>
  <si>
    <t>Others</t>
    <phoneticPr fontId="2" type="noConversion"/>
  </si>
  <si>
    <t>CapEx, D&amp;A</t>
    <phoneticPr fontId="2" type="noConversion"/>
  </si>
  <si>
    <t>Labor</t>
    <phoneticPr fontId="2" type="noConversion"/>
  </si>
  <si>
    <t>NWC</t>
    <phoneticPr fontId="2" type="noConversion"/>
  </si>
  <si>
    <t>BS</t>
    <phoneticPr fontId="2" type="noConversion"/>
  </si>
  <si>
    <t>Raw</t>
    <phoneticPr fontId="2" type="noConversion"/>
  </si>
  <si>
    <t>Dart_FS</t>
    <phoneticPr fontId="2" type="noConversion"/>
  </si>
  <si>
    <r>
      <t>Dart_</t>
    </r>
    <r>
      <rPr>
        <sz val="9"/>
        <color theme="1"/>
        <rFont val="맑은 고딕"/>
        <family val="3"/>
        <charset val="129"/>
      </rPr>
      <t>시장리서치</t>
    </r>
    <phoneticPr fontId="2" type="noConversion"/>
  </si>
  <si>
    <t>Dart_Labor</t>
    <phoneticPr fontId="2" type="noConversion"/>
  </si>
  <si>
    <t>Dart_Cost</t>
    <phoneticPr fontId="2" type="noConversion"/>
  </si>
  <si>
    <t>Dart_Sales</t>
    <phoneticPr fontId="2" type="noConversion"/>
  </si>
  <si>
    <r>
      <t>Dart_</t>
    </r>
    <r>
      <rPr>
        <sz val="9"/>
        <color theme="1"/>
        <rFont val="맑은 고딕"/>
        <family val="3"/>
        <charset val="129"/>
      </rPr>
      <t>중고차</t>
    </r>
    <r>
      <rPr>
        <sz val="9"/>
        <color theme="1"/>
        <rFont val="Arial"/>
        <family val="2"/>
      </rPr>
      <t xml:space="preserve"> Sales</t>
    </r>
    <phoneticPr fontId="2" type="noConversion"/>
  </si>
  <si>
    <t>Dart_Capture</t>
    <phoneticPr fontId="2" type="noConversion"/>
  </si>
  <si>
    <t>Control</t>
    <phoneticPr fontId="2" type="noConversion"/>
  </si>
  <si>
    <t>Equity Value</t>
    <phoneticPr fontId="2" type="noConversion"/>
  </si>
  <si>
    <t>per Share</t>
    <phoneticPr fontId="2" type="noConversion"/>
  </si>
  <si>
    <t>Historical</t>
    <phoneticPr fontId="2" type="noConversion"/>
  </si>
  <si>
    <t xml:space="preserve"> </t>
    <phoneticPr fontId="2" type="noConversion"/>
  </si>
  <si>
    <t>Forecast</t>
  </si>
  <si>
    <t>KRW in millions</t>
    <phoneticPr fontId="2" type="noConversion"/>
  </si>
  <si>
    <t>2021.1H</t>
  </si>
  <si>
    <t>2021.2H</t>
    <phoneticPr fontId="2" type="noConversion"/>
  </si>
  <si>
    <t>EBITDA</t>
    <phoneticPr fontId="2" type="noConversion"/>
  </si>
  <si>
    <t>FCFF</t>
    <phoneticPr fontId="2" type="noConversion"/>
  </si>
  <si>
    <r>
      <t>Sales_</t>
    </r>
    <r>
      <rPr>
        <b/>
        <sz val="9"/>
        <color theme="0"/>
        <rFont val="맑은 고딕"/>
        <family val="3"/>
        <charset val="129"/>
      </rPr>
      <t>이커머스</t>
    </r>
    <r>
      <rPr>
        <b/>
        <sz val="9"/>
        <color theme="0"/>
        <rFont val="Arial"/>
        <family val="2"/>
      </rPr>
      <t xml:space="preserve"> </t>
    </r>
    <r>
      <rPr>
        <b/>
        <sz val="9"/>
        <color theme="0"/>
        <rFont val="맑은 고딕"/>
        <family val="3"/>
        <charset val="129"/>
      </rPr>
      <t>중고차판매</t>
    </r>
    <phoneticPr fontId="2" type="noConversion"/>
  </si>
  <si>
    <r>
      <t>SUV(</t>
    </r>
    <r>
      <rPr>
        <sz val="9"/>
        <color theme="1"/>
        <rFont val="맑은 고딕"/>
        <family val="3"/>
        <charset val="129"/>
      </rPr>
      <t>이커머스</t>
    </r>
    <r>
      <rPr>
        <sz val="9"/>
        <color theme="1"/>
        <rFont val="Arial"/>
        <family val="2"/>
      </rPr>
      <t>) P growth</t>
    </r>
    <phoneticPr fontId="2" type="noConversion"/>
  </si>
  <si>
    <r>
      <t>SUV(</t>
    </r>
    <r>
      <rPr>
        <sz val="9"/>
        <color theme="1"/>
        <rFont val="맑은 고딕"/>
        <family val="3"/>
        <charset val="129"/>
      </rPr>
      <t>이커머스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3"/>
        <charset val="129"/>
      </rPr>
      <t>시장</t>
    </r>
    <r>
      <rPr>
        <sz val="9"/>
        <color theme="1"/>
        <rFont val="Arial"/>
        <family val="2"/>
      </rPr>
      <t xml:space="preserve"> Q growth</t>
    </r>
    <phoneticPr fontId="2" type="noConversion"/>
  </si>
  <si>
    <r>
      <t>SUV(</t>
    </r>
    <r>
      <rPr>
        <sz val="9"/>
        <color theme="1"/>
        <rFont val="맑은 고딕"/>
        <family val="3"/>
        <charset val="129"/>
      </rPr>
      <t>이커머스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3"/>
        <charset val="129"/>
      </rPr>
      <t>케이카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점유율</t>
    </r>
    <phoneticPr fontId="2" type="noConversion"/>
  </si>
  <si>
    <r>
      <rPr>
        <sz val="9"/>
        <color theme="1"/>
        <rFont val="맑은 고딕"/>
        <family val="3"/>
        <charset val="129"/>
      </rPr>
      <t>대형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이커머스</t>
    </r>
    <r>
      <rPr>
        <sz val="9"/>
        <color theme="1"/>
        <rFont val="Arial"/>
        <family val="2"/>
      </rPr>
      <t>) P growth</t>
    </r>
    <phoneticPr fontId="2" type="noConversion"/>
  </si>
  <si>
    <r>
      <rPr>
        <sz val="9"/>
        <color theme="1"/>
        <rFont val="맑은 고딕"/>
        <family val="3"/>
        <charset val="129"/>
      </rPr>
      <t>대형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이커머스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3"/>
        <charset val="129"/>
      </rPr>
      <t>시장</t>
    </r>
    <r>
      <rPr>
        <sz val="9"/>
        <color theme="1"/>
        <rFont val="Arial"/>
        <family val="2"/>
      </rPr>
      <t xml:space="preserve"> Q growth</t>
    </r>
    <phoneticPr fontId="2" type="noConversion"/>
  </si>
  <si>
    <r>
      <rPr>
        <sz val="9"/>
        <color theme="1"/>
        <rFont val="맑은 고딕"/>
        <family val="3"/>
        <charset val="129"/>
      </rPr>
      <t>대형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이커머스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3"/>
        <charset val="129"/>
      </rPr>
      <t>케이카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점유율</t>
    </r>
    <phoneticPr fontId="2" type="noConversion"/>
  </si>
  <si>
    <r>
      <rPr>
        <sz val="9"/>
        <color theme="1"/>
        <rFont val="맑은 고딕"/>
        <family val="3"/>
        <charset val="129"/>
      </rPr>
      <t>중형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이커머스</t>
    </r>
    <r>
      <rPr>
        <sz val="9"/>
        <color theme="1"/>
        <rFont val="Arial"/>
        <family val="2"/>
      </rPr>
      <t>) P growth</t>
    </r>
  </si>
  <si>
    <r>
      <rPr>
        <sz val="9"/>
        <color theme="1"/>
        <rFont val="맑은 고딕"/>
        <family val="3"/>
        <charset val="129"/>
      </rPr>
      <t>중형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이커머스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3"/>
        <charset val="129"/>
      </rPr>
      <t>시장</t>
    </r>
    <r>
      <rPr>
        <sz val="9"/>
        <color theme="1"/>
        <rFont val="Arial"/>
        <family val="2"/>
      </rPr>
      <t xml:space="preserve"> Q growth</t>
    </r>
  </si>
  <si>
    <r>
      <rPr>
        <sz val="9"/>
        <color theme="1"/>
        <rFont val="맑은 고딕"/>
        <family val="3"/>
        <charset val="129"/>
      </rPr>
      <t>중형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이커머스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3"/>
        <charset val="129"/>
      </rPr>
      <t>케이카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점유율</t>
    </r>
  </si>
  <si>
    <r>
      <rPr>
        <sz val="9"/>
        <color theme="1"/>
        <rFont val="맑은 고딕"/>
        <family val="3"/>
        <charset val="129"/>
      </rPr>
      <t>준중형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이커머스</t>
    </r>
    <r>
      <rPr>
        <sz val="9"/>
        <color theme="1"/>
        <rFont val="Arial"/>
        <family val="2"/>
      </rPr>
      <t>) P growth</t>
    </r>
    <phoneticPr fontId="2" type="noConversion"/>
  </si>
  <si>
    <r>
      <rPr>
        <sz val="9"/>
        <color theme="1"/>
        <rFont val="맑은 고딕"/>
        <family val="3"/>
        <charset val="129"/>
      </rPr>
      <t>준중형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이커머스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3"/>
        <charset val="129"/>
      </rPr>
      <t>시장</t>
    </r>
    <r>
      <rPr>
        <sz val="9"/>
        <color theme="1"/>
        <rFont val="Arial"/>
        <family val="2"/>
      </rPr>
      <t xml:space="preserve"> Q growth</t>
    </r>
    <phoneticPr fontId="2" type="noConversion"/>
  </si>
  <si>
    <r>
      <rPr>
        <sz val="9"/>
        <color theme="1"/>
        <rFont val="맑은 고딕"/>
        <family val="3"/>
        <charset val="129"/>
      </rPr>
      <t>준중형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이커머스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3"/>
        <charset val="129"/>
      </rPr>
      <t>케이카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점유율</t>
    </r>
    <phoneticPr fontId="2" type="noConversion"/>
  </si>
  <si>
    <r>
      <rPr>
        <sz val="9"/>
        <color theme="1"/>
        <rFont val="맑은 고딕"/>
        <family val="3"/>
        <charset val="129"/>
      </rPr>
      <t>소형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이커머스</t>
    </r>
    <r>
      <rPr>
        <sz val="9"/>
        <color theme="1"/>
        <rFont val="Arial"/>
        <family val="2"/>
      </rPr>
      <t>) P growth</t>
    </r>
    <phoneticPr fontId="2" type="noConversion"/>
  </si>
  <si>
    <r>
      <rPr>
        <sz val="9"/>
        <color theme="1"/>
        <rFont val="맑은 고딕"/>
        <family val="3"/>
        <charset val="129"/>
      </rPr>
      <t>소형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이커머스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3"/>
        <charset val="129"/>
      </rPr>
      <t>시장</t>
    </r>
    <r>
      <rPr>
        <sz val="9"/>
        <color theme="1"/>
        <rFont val="Arial"/>
        <family val="2"/>
      </rPr>
      <t xml:space="preserve"> Q growth</t>
    </r>
    <phoneticPr fontId="2" type="noConversion"/>
  </si>
  <si>
    <r>
      <rPr>
        <sz val="9"/>
        <color theme="1"/>
        <rFont val="맑은 고딕"/>
        <family val="3"/>
        <charset val="129"/>
      </rPr>
      <t>소형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이커머스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3"/>
        <charset val="129"/>
      </rPr>
      <t>케이카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점유율</t>
    </r>
    <phoneticPr fontId="2" type="noConversion"/>
  </si>
  <si>
    <r>
      <rPr>
        <sz val="9"/>
        <color theme="1"/>
        <rFont val="맑은 고딕"/>
        <family val="3"/>
        <charset val="129"/>
      </rPr>
      <t>화물차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이커머스</t>
    </r>
    <r>
      <rPr>
        <sz val="9"/>
        <color theme="1"/>
        <rFont val="Arial"/>
        <family val="2"/>
      </rPr>
      <t>) P growth</t>
    </r>
  </si>
  <si>
    <r>
      <rPr>
        <sz val="9"/>
        <color theme="1"/>
        <rFont val="맑은 고딕"/>
        <family val="3"/>
        <charset val="129"/>
      </rPr>
      <t>화물차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이커머스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3"/>
        <charset val="129"/>
      </rPr>
      <t>시장</t>
    </r>
    <r>
      <rPr>
        <sz val="9"/>
        <color theme="1"/>
        <rFont val="Arial"/>
        <family val="2"/>
      </rPr>
      <t xml:space="preserve"> Q growth</t>
    </r>
  </si>
  <si>
    <r>
      <rPr>
        <sz val="9"/>
        <color theme="1"/>
        <rFont val="맑은 고딕"/>
        <family val="3"/>
        <charset val="129"/>
      </rPr>
      <t>화물차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이커머스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3"/>
        <charset val="129"/>
      </rPr>
      <t>케이카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점유율</t>
    </r>
  </si>
  <si>
    <r>
      <rPr>
        <sz val="9"/>
        <color theme="1"/>
        <rFont val="맑은 고딕"/>
        <family val="3"/>
        <charset val="129"/>
      </rPr>
      <t>기타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이커머스</t>
    </r>
    <r>
      <rPr>
        <sz val="9"/>
        <color theme="1"/>
        <rFont val="Arial"/>
        <family val="2"/>
      </rPr>
      <t>) P growth</t>
    </r>
  </si>
  <si>
    <r>
      <rPr>
        <sz val="9"/>
        <color theme="1"/>
        <rFont val="맑은 고딕"/>
        <family val="3"/>
        <charset val="129"/>
      </rPr>
      <t>기타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이커머스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3"/>
        <charset val="129"/>
      </rPr>
      <t>시장</t>
    </r>
    <r>
      <rPr>
        <sz val="9"/>
        <color theme="1"/>
        <rFont val="Arial"/>
        <family val="2"/>
      </rPr>
      <t xml:space="preserve"> Q growth</t>
    </r>
  </si>
  <si>
    <r>
      <rPr>
        <sz val="9"/>
        <color theme="1"/>
        <rFont val="맑은 고딕"/>
        <family val="3"/>
        <charset val="129"/>
      </rPr>
      <t>기타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이커머스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3"/>
        <charset val="129"/>
      </rPr>
      <t>케이카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점유율</t>
    </r>
  </si>
  <si>
    <r>
      <t>Sales_</t>
    </r>
    <r>
      <rPr>
        <b/>
        <sz val="9"/>
        <color theme="0"/>
        <rFont val="맑은 고딕"/>
        <family val="3"/>
        <charset val="129"/>
      </rPr>
      <t>지점내방</t>
    </r>
    <r>
      <rPr>
        <b/>
        <sz val="9"/>
        <color theme="0"/>
        <rFont val="Arial"/>
        <family val="2"/>
      </rPr>
      <t xml:space="preserve"> </t>
    </r>
    <r>
      <rPr>
        <b/>
        <sz val="9"/>
        <color theme="0"/>
        <rFont val="맑은 고딕"/>
        <family val="3"/>
        <charset val="129"/>
      </rPr>
      <t>중고차판매</t>
    </r>
    <phoneticPr fontId="2" type="noConversion"/>
  </si>
  <si>
    <r>
      <t>SUV(</t>
    </r>
    <r>
      <rPr>
        <sz val="9"/>
        <color theme="1"/>
        <rFont val="맑은 고딕"/>
        <family val="3"/>
        <charset val="129"/>
      </rPr>
      <t>지점내방</t>
    </r>
    <r>
      <rPr>
        <sz val="9"/>
        <color theme="1"/>
        <rFont val="Arial"/>
        <family val="2"/>
      </rPr>
      <t>) P growth</t>
    </r>
    <phoneticPr fontId="2" type="noConversion"/>
  </si>
  <si>
    <r>
      <t>SUV(</t>
    </r>
    <r>
      <rPr>
        <sz val="9"/>
        <color theme="1"/>
        <rFont val="맑은 고딕"/>
        <family val="3"/>
        <charset val="129"/>
      </rPr>
      <t>지점내방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3"/>
        <charset val="129"/>
      </rPr>
      <t>시장</t>
    </r>
    <r>
      <rPr>
        <sz val="9"/>
        <color theme="1"/>
        <rFont val="Arial"/>
        <family val="2"/>
      </rPr>
      <t xml:space="preserve"> Q growth</t>
    </r>
    <phoneticPr fontId="2" type="noConversion"/>
  </si>
  <si>
    <r>
      <t>SUV(</t>
    </r>
    <r>
      <rPr>
        <sz val="9"/>
        <color theme="1"/>
        <rFont val="맑은 고딕"/>
        <family val="3"/>
        <charset val="129"/>
      </rPr>
      <t>지점내방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3"/>
        <charset val="129"/>
      </rPr>
      <t>케이카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점유율</t>
    </r>
    <phoneticPr fontId="2" type="noConversion"/>
  </si>
  <si>
    <r>
      <rPr>
        <sz val="9"/>
        <color theme="1"/>
        <rFont val="맑은 고딕"/>
        <family val="3"/>
        <charset val="129"/>
      </rPr>
      <t>대형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지점내방</t>
    </r>
    <r>
      <rPr>
        <sz val="9"/>
        <color theme="1"/>
        <rFont val="Arial"/>
        <family val="2"/>
      </rPr>
      <t>) P growth</t>
    </r>
    <phoneticPr fontId="2" type="noConversion"/>
  </si>
  <si>
    <r>
      <rPr>
        <sz val="9"/>
        <color theme="1"/>
        <rFont val="맑은 고딕"/>
        <family val="3"/>
        <charset val="129"/>
      </rPr>
      <t>대형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지점내방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3"/>
        <charset val="129"/>
      </rPr>
      <t>시장</t>
    </r>
    <r>
      <rPr>
        <sz val="9"/>
        <color theme="1"/>
        <rFont val="Arial"/>
        <family val="2"/>
      </rPr>
      <t xml:space="preserve"> Q growth</t>
    </r>
    <phoneticPr fontId="2" type="noConversion"/>
  </si>
  <si>
    <r>
      <rPr>
        <sz val="9"/>
        <color theme="1"/>
        <rFont val="맑은 고딕"/>
        <family val="3"/>
        <charset val="129"/>
      </rPr>
      <t>대형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지점내방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3"/>
        <charset val="129"/>
      </rPr>
      <t>케이카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점유율</t>
    </r>
    <phoneticPr fontId="2" type="noConversion"/>
  </si>
  <si>
    <r>
      <rPr>
        <sz val="9"/>
        <color theme="1"/>
        <rFont val="맑은 고딕"/>
        <family val="3"/>
        <charset val="129"/>
      </rPr>
      <t>중형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지점내방</t>
    </r>
    <r>
      <rPr>
        <sz val="9"/>
        <color theme="1"/>
        <rFont val="Arial"/>
        <family val="2"/>
      </rPr>
      <t>) P growth</t>
    </r>
  </si>
  <si>
    <r>
      <rPr>
        <sz val="9"/>
        <color theme="1"/>
        <rFont val="맑은 고딕"/>
        <family val="3"/>
        <charset val="129"/>
      </rPr>
      <t>중형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지점내방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3"/>
        <charset val="129"/>
      </rPr>
      <t>시장</t>
    </r>
    <r>
      <rPr>
        <sz val="9"/>
        <color theme="1"/>
        <rFont val="Arial"/>
        <family val="2"/>
      </rPr>
      <t xml:space="preserve"> Q growth</t>
    </r>
  </si>
  <si>
    <r>
      <rPr>
        <sz val="9"/>
        <color theme="1"/>
        <rFont val="맑은 고딕"/>
        <family val="3"/>
        <charset val="129"/>
      </rPr>
      <t>중형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지점내방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3"/>
        <charset val="129"/>
      </rPr>
      <t>케이카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점유율</t>
    </r>
  </si>
  <si>
    <r>
      <rPr>
        <sz val="9"/>
        <color theme="1"/>
        <rFont val="맑은 고딕"/>
        <family val="3"/>
        <charset val="129"/>
      </rPr>
      <t>준중형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지점내방</t>
    </r>
    <r>
      <rPr>
        <sz val="9"/>
        <color theme="1"/>
        <rFont val="Arial"/>
        <family val="2"/>
      </rPr>
      <t>) P growth</t>
    </r>
    <phoneticPr fontId="2" type="noConversion"/>
  </si>
  <si>
    <r>
      <rPr>
        <sz val="9"/>
        <color theme="1"/>
        <rFont val="맑은 고딕"/>
        <family val="3"/>
        <charset val="129"/>
      </rPr>
      <t>준중형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지점내방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3"/>
        <charset val="129"/>
      </rPr>
      <t>시장</t>
    </r>
    <r>
      <rPr>
        <sz val="9"/>
        <color theme="1"/>
        <rFont val="Arial"/>
        <family val="2"/>
      </rPr>
      <t xml:space="preserve"> Q growth</t>
    </r>
    <phoneticPr fontId="2" type="noConversion"/>
  </si>
  <si>
    <r>
      <rPr>
        <sz val="9"/>
        <color theme="1"/>
        <rFont val="맑은 고딕"/>
        <family val="3"/>
        <charset val="129"/>
      </rPr>
      <t>준중형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지점내방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3"/>
        <charset val="129"/>
      </rPr>
      <t>케이카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점유율</t>
    </r>
    <phoneticPr fontId="2" type="noConversion"/>
  </si>
  <si>
    <r>
      <rPr>
        <sz val="9"/>
        <color theme="1"/>
        <rFont val="맑은 고딕"/>
        <family val="3"/>
        <charset val="129"/>
      </rPr>
      <t>소형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지점내방</t>
    </r>
    <r>
      <rPr>
        <sz val="9"/>
        <color theme="1"/>
        <rFont val="Arial"/>
        <family val="2"/>
      </rPr>
      <t>) P growth</t>
    </r>
    <phoneticPr fontId="2" type="noConversion"/>
  </si>
  <si>
    <r>
      <rPr>
        <sz val="9"/>
        <color theme="1"/>
        <rFont val="맑은 고딕"/>
        <family val="3"/>
        <charset val="129"/>
      </rPr>
      <t>소형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지점내방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3"/>
        <charset val="129"/>
      </rPr>
      <t>시장</t>
    </r>
    <r>
      <rPr>
        <sz val="9"/>
        <color theme="1"/>
        <rFont val="Arial"/>
        <family val="2"/>
      </rPr>
      <t xml:space="preserve"> Q growth</t>
    </r>
    <phoneticPr fontId="2" type="noConversion"/>
  </si>
  <si>
    <r>
      <rPr>
        <sz val="9"/>
        <color theme="1"/>
        <rFont val="맑은 고딕"/>
        <family val="3"/>
        <charset val="129"/>
      </rPr>
      <t>소형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지점내방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3"/>
        <charset val="129"/>
      </rPr>
      <t>케이카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점유율</t>
    </r>
    <phoneticPr fontId="2" type="noConversion"/>
  </si>
  <si>
    <r>
      <rPr>
        <sz val="9"/>
        <color theme="1"/>
        <rFont val="맑은 고딕"/>
        <family val="3"/>
        <charset val="129"/>
      </rPr>
      <t>화물차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지점내방</t>
    </r>
    <r>
      <rPr>
        <sz val="9"/>
        <color theme="1"/>
        <rFont val="Arial"/>
        <family val="2"/>
      </rPr>
      <t>) P growth</t>
    </r>
  </si>
  <si>
    <r>
      <rPr>
        <sz val="9"/>
        <color theme="1"/>
        <rFont val="맑은 고딕"/>
        <family val="3"/>
        <charset val="129"/>
      </rPr>
      <t>화물차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지점내방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3"/>
        <charset val="129"/>
      </rPr>
      <t>시장</t>
    </r>
    <r>
      <rPr>
        <sz val="9"/>
        <color theme="1"/>
        <rFont val="Arial"/>
        <family val="2"/>
      </rPr>
      <t xml:space="preserve"> Q growth</t>
    </r>
  </si>
  <si>
    <r>
      <rPr>
        <sz val="9"/>
        <color theme="1"/>
        <rFont val="맑은 고딕"/>
        <family val="3"/>
        <charset val="129"/>
      </rPr>
      <t>화물차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지점내방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3"/>
        <charset val="129"/>
      </rPr>
      <t>케이카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점유율</t>
    </r>
  </si>
  <si>
    <r>
      <rPr>
        <sz val="9"/>
        <color theme="1"/>
        <rFont val="맑은 고딕"/>
        <family val="3"/>
        <charset val="129"/>
      </rPr>
      <t>기타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지점내방</t>
    </r>
    <r>
      <rPr>
        <sz val="9"/>
        <color theme="1"/>
        <rFont val="Arial"/>
        <family val="2"/>
      </rPr>
      <t>) P growth</t>
    </r>
  </si>
  <si>
    <r>
      <rPr>
        <sz val="9"/>
        <color theme="1"/>
        <rFont val="맑은 고딕"/>
        <family val="3"/>
        <charset val="129"/>
      </rPr>
      <t>기타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지점내방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3"/>
        <charset val="129"/>
      </rPr>
      <t>시장</t>
    </r>
    <r>
      <rPr>
        <sz val="9"/>
        <color theme="1"/>
        <rFont val="Arial"/>
        <family val="2"/>
      </rPr>
      <t xml:space="preserve"> Q growth</t>
    </r>
  </si>
  <si>
    <r>
      <rPr>
        <sz val="9"/>
        <color theme="1"/>
        <rFont val="맑은 고딕"/>
        <family val="3"/>
        <charset val="129"/>
      </rPr>
      <t>기타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지점내방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3"/>
        <charset val="129"/>
      </rPr>
      <t>케이카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점유율</t>
    </r>
  </si>
  <si>
    <r>
      <t>Sales_</t>
    </r>
    <r>
      <rPr>
        <b/>
        <sz val="9"/>
        <color theme="0"/>
        <rFont val="맑은 고딕"/>
        <family val="3"/>
        <charset val="129"/>
      </rPr>
      <t>기타가정</t>
    </r>
    <phoneticPr fontId="2" type="noConversion"/>
  </si>
  <si>
    <r>
      <rPr>
        <sz val="9"/>
        <color theme="1"/>
        <rFont val="맑은 고딕"/>
        <family val="3"/>
        <charset val="129"/>
      </rPr>
      <t>경매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상품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3"/>
        <charset val="129"/>
      </rPr>
      <t>매출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성장률</t>
    </r>
    <phoneticPr fontId="2" type="noConversion"/>
  </si>
  <si>
    <r>
      <rPr>
        <sz val="9"/>
        <color theme="1"/>
        <rFont val="맑은 고딕"/>
        <family val="3"/>
        <charset val="129"/>
      </rPr>
      <t>경매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용역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3"/>
        <charset val="129"/>
      </rPr>
      <t>매출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성장률</t>
    </r>
    <phoneticPr fontId="2" type="noConversion"/>
  </si>
  <si>
    <r>
      <rPr>
        <sz val="9"/>
        <color theme="1"/>
        <rFont val="맑은 고딕"/>
        <family val="3"/>
        <charset val="129"/>
      </rPr>
      <t>렌터카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매각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매출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성장률</t>
    </r>
    <phoneticPr fontId="2" type="noConversion"/>
  </si>
  <si>
    <r>
      <rPr>
        <sz val="9"/>
        <color theme="1"/>
        <rFont val="맑은 고딕"/>
        <family val="3"/>
        <charset val="129"/>
      </rPr>
      <t>렌터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매출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성장률</t>
    </r>
    <phoneticPr fontId="2" type="noConversion"/>
  </si>
  <si>
    <r>
      <rPr>
        <sz val="9"/>
        <color theme="1"/>
        <rFont val="맑은 고딕"/>
        <family val="3"/>
        <charset val="129"/>
      </rPr>
      <t>이커머스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용역매출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비율</t>
    </r>
    <phoneticPr fontId="2" type="noConversion"/>
  </si>
  <si>
    <r>
      <rPr>
        <sz val="9"/>
        <color theme="1"/>
        <rFont val="맑은 고딕"/>
        <family val="3"/>
        <charset val="129"/>
      </rPr>
      <t>지점내방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용역매출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비율</t>
    </r>
    <phoneticPr fontId="2" type="noConversion"/>
  </si>
  <si>
    <r>
      <rPr>
        <sz val="9"/>
        <color theme="1"/>
        <rFont val="맑은 고딕"/>
        <family val="3"/>
        <charset val="129"/>
      </rPr>
      <t>기타매출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비율</t>
    </r>
    <phoneticPr fontId="2" type="noConversion"/>
  </si>
  <si>
    <t>Variable Cost</t>
    <phoneticPr fontId="2" type="noConversion"/>
  </si>
  <si>
    <r>
      <rPr>
        <sz val="9"/>
        <color theme="1"/>
        <rFont val="맑은 고딕"/>
        <family val="3"/>
        <charset val="129"/>
      </rPr>
      <t>주식보상비용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비율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인건비</t>
    </r>
    <r>
      <rPr>
        <sz val="9"/>
        <color theme="1"/>
        <rFont val="Arial"/>
        <family val="2"/>
      </rPr>
      <t>)</t>
    </r>
    <phoneticPr fontId="2" type="noConversion"/>
  </si>
  <si>
    <r>
      <rPr>
        <sz val="9"/>
        <color theme="1"/>
        <rFont val="맑은 고딕"/>
        <family val="3"/>
        <charset val="129"/>
      </rPr>
      <t>중고차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3"/>
        <charset val="129"/>
      </rPr>
      <t>대당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원가</t>
    </r>
    <phoneticPr fontId="2" type="noConversion"/>
  </si>
  <si>
    <r>
      <rPr>
        <sz val="9"/>
        <color theme="1"/>
        <rFont val="맑은 고딕"/>
        <family val="3"/>
        <charset val="129"/>
      </rPr>
      <t>중고차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3"/>
        <charset val="129"/>
      </rPr>
      <t>대당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보증비</t>
    </r>
    <phoneticPr fontId="2" type="noConversion"/>
  </si>
  <si>
    <r>
      <rPr>
        <sz val="9"/>
        <color theme="1"/>
        <rFont val="맑은 고딕"/>
        <family val="3"/>
        <charset val="129"/>
      </rPr>
      <t>렌터카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원가율</t>
    </r>
    <phoneticPr fontId="2" type="noConversion"/>
  </si>
  <si>
    <r>
      <rPr>
        <sz val="9"/>
        <color theme="1"/>
        <rFont val="맑은 고딕"/>
        <family val="3"/>
        <charset val="129"/>
      </rPr>
      <t>지급수수료율</t>
    </r>
    <phoneticPr fontId="2" type="noConversion"/>
  </si>
  <si>
    <t>Fixed Cost</t>
    <phoneticPr fontId="2" type="noConversion"/>
  </si>
  <si>
    <r>
      <rPr>
        <sz val="9"/>
        <color theme="1"/>
        <rFont val="맑은 고딕"/>
        <family val="3"/>
        <charset val="129"/>
      </rPr>
      <t>유형자산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사용권</t>
    </r>
    <r>
      <rPr>
        <sz val="9"/>
        <color theme="1"/>
        <rFont val="Arial"/>
        <family val="2"/>
      </rPr>
      <t>) CapEx</t>
    </r>
    <phoneticPr fontId="2" type="noConversion"/>
  </si>
  <si>
    <r>
      <rPr>
        <sz val="9"/>
        <color theme="1"/>
        <rFont val="맑은 고딕"/>
        <family val="3"/>
        <charset val="129"/>
      </rPr>
      <t>무형자산</t>
    </r>
    <r>
      <rPr>
        <sz val="9"/>
        <color theme="1"/>
        <rFont val="Arial"/>
        <family val="2"/>
      </rPr>
      <t xml:space="preserve"> CapEx</t>
    </r>
    <phoneticPr fontId="2" type="noConversion"/>
  </si>
  <si>
    <r>
      <rPr>
        <sz val="9"/>
        <color theme="1"/>
        <rFont val="맑은 고딕"/>
        <family val="3"/>
        <charset val="129"/>
      </rPr>
      <t>유형자산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사용권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3"/>
        <charset val="129"/>
      </rPr>
      <t>기타변동액</t>
    </r>
  </si>
  <si>
    <r>
      <rPr>
        <sz val="9"/>
        <color theme="1"/>
        <rFont val="맑은 고딕"/>
        <family val="3"/>
        <charset val="129"/>
      </rPr>
      <t>무형자산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기타변동액</t>
    </r>
  </si>
  <si>
    <r>
      <rPr>
        <sz val="9"/>
        <color theme="1"/>
        <rFont val="맑은 고딕"/>
        <family val="3"/>
        <charset val="129"/>
      </rPr>
      <t>유형자산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상각률</t>
    </r>
    <phoneticPr fontId="2" type="noConversion"/>
  </si>
  <si>
    <r>
      <rPr>
        <sz val="9"/>
        <color theme="1"/>
        <rFont val="맑은 고딕"/>
        <family val="3"/>
        <charset val="129"/>
      </rPr>
      <t>무형자산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상각률</t>
    </r>
    <phoneticPr fontId="2" type="noConversion"/>
  </si>
  <si>
    <r>
      <rPr>
        <b/>
        <sz val="9"/>
        <color theme="1"/>
        <rFont val="맑은 고딕"/>
        <family val="3"/>
        <charset val="129"/>
      </rPr>
      <t>중고차</t>
    </r>
    <phoneticPr fontId="2" type="noConversion"/>
  </si>
  <si>
    <r>
      <rPr>
        <sz val="9"/>
        <color theme="1"/>
        <rFont val="맑은 고딕"/>
        <family val="3"/>
        <charset val="129"/>
      </rPr>
      <t>남자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3"/>
        <charset val="129"/>
      </rPr>
      <t>명당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판매대수</t>
    </r>
    <phoneticPr fontId="2" type="noConversion"/>
  </si>
  <si>
    <r>
      <rPr>
        <sz val="9"/>
        <color theme="1"/>
        <rFont val="맑은 고딕"/>
        <family val="3"/>
        <charset val="129"/>
      </rPr>
      <t>남자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3"/>
        <charset val="129"/>
      </rPr>
      <t>명당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평균급여</t>
    </r>
    <phoneticPr fontId="2" type="noConversion"/>
  </si>
  <si>
    <r>
      <rPr>
        <sz val="9"/>
        <color theme="1"/>
        <rFont val="맑은 고딕"/>
        <family val="3"/>
        <charset val="129"/>
      </rPr>
      <t>여자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3"/>
        <charset val="129"/>
      </rPr>
      <t>명당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판매대수</t>
    </r>
    <phoneticPr fontId="2" type="noConversion"/>
  </si>
  <si>
    <r>
      <rPr>
        <sz val="9"/>
        <color theme="1"/>
        <rFont val="맑은 고딕"/>
        <family val="3"/>
        <charset val="129"/>
      </rPr>
      <t>여자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3"/>
        <charset val="129"/>
      </rPr>
      <t>명당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평균급여</t>
    </r>
    <phoneticPr fontId="2" type="noConversion"/>
  </si>
  <si>
    <r>
      <rPr>
        <b/>
        <sz val="9"/>
        <color theme="1"/>
        <rFont val="맑은 고딕"/>
        <family val="3"/>
        <charset val="129"/>
      </rPr>
      <t>경매</t>
    </r>
    <phoneticPr fontId="2" type="noConversion"/>
  </si>
  <si>
    <r>
      <rPr>
        <sz val="9"/>
        <color theme="1"/>
        <rFont val="맑은 고딕"/>
        <family val="3"/>
        <charset val="129"/>
      </rPr>
      <t>남자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3"/>
        <charset val="129"/>
      </rPr>
      <t>인당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경매매출</t>
    </r>
    <phoneticPr fontId="2" type="noConversion"/>
  </si>
  <si>
    <r>
      <rPr>
        <sz val="9"/>
        <color theme="1"/>
        <rFont val="맑은 고딕"/>
        <family val="3"/>
        <charset val="129"/>
      </rPr>
      <t>남자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3"/>
        <charset val="129"/>
      </rPr>
      <t>인당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평균급여</t>
    </r>
    <phoneticPr fontId="2" type="noConversion"/>
  </si>
  <si>
    <r>
      <rPr>
        <sz val="9"/>
        <color theme="1"/>
        <rFont val="맑은 고딕"/>
        <family val="3"/>
        <charset val="129"/>
      </rPr>
      <t>여자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3"/>
        <charset val="129"/>
      </rPr>
      <t>인당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경매매출</t>
    </r>
    <phoneticPr fontId="2" type="noConversion"/>
  </si>
  <si>
    <r>
      <rPr>
        <sz val="9"/>
        <color theme="1"/>
        <rFont val="맑은 고딕"/>
        <family val="3"/>
        <charset val="129"/>
      </rPr>
      <t>여자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3"/>
        <charset val="129"/>
      </rPr>
      <t>인당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평균급여</t>
    </r>
    <phoneticPr fontId="2" type="noConversion"/>
  </si>
  <si>
    <r>
      <rPr>
        <b/>
        <sz val="9"/>
        <color theme="1"/>
        <rFont val="맑은 고딕"/>
        <family val="3"/>
        <charset val="129"/>
      </rPr>
      <t>렌탈</t>
    </r>
    <phoneticPr fontId="2" type="noConversion"/>
  </si>
  <si>
    <r>
      <rPr>
        <sz val="9"/>
        <color theme="1"/>
        <rFont val="맑은 고딕"/>
        <family val="3"/>
        <charset val="129"/>
      </rPr>
      <t>남자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3"/>
        <charset val="129"/>
      </rPr>
      <t>인당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렌탈매출</t>
    </r>
    <phoneticPr fontId="2" type="noConversion"/>
  </si>
  <si>
    <r>
      <rPr>
        <sz val="9"/>
        <color theme="1"/>
        <rFont val="맑은 고딕"/>
        <family val="3"/>
        <charset val="129"/>
      </rPr>
      <t>여자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3"/>
        <charset val="129"/>
      </rPr>
      <t>인당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렌탈매출</t>
    </r>
    <phoneticPr fontId="2" type="noConversion"/>
  </si>
  <si>
    <r>
      <rPr>
        <b/>
        <sz val="9"/>
        <color theme="1"/>
        <rFont val="맑은 고딕"/>
        <family val="3"/>
        <charset val="129"/>
      </rPr>
      <t>마케팅</t>
    </r>
    <phoneticPr fontId="2" type="noConversion"/>
  </si>
  <si>
    <r>
      <rPr>
        <sz val="9"/>
        <color theme="1"/>
        <rFont val="맑은 고딕"/>
        <family val="3"/>
        <charset val="129"/>
      </rPr>
      <t>남자직원수</t>
    </r>
    <phoneticPr fontId="2" type="noConversion"/>
  </si>
  <si>
    <r>
      <rPr>
        <sz val="9"/>
        <color theme="1"/>
        <rFont val="맑은 고딕"/>
        <family val="3"/>
        <charset val="129"/>
      </rPr>
      <t>여자직원수</t>
    </r>
    <phoneticPr fontId="2" type="noConversion"/>
  </si>
  <si>
    <t>IT</t>
    <phoneticPr fontId="2" type="noConversion"/>
  </si>
  <si>
    <r>
      <rPr>
        <b/>
        <sz val="9"/>
        <color theme="1"/>
        <rFont val="맑은 고딕"/>
        <family val="3"/>
        <charset val="129"/>
      </rPr>
      <t>사무</t>
    </r>
    <phoneticPr fontId="2" type="noConversion"/>
  </si>
  <si>
    <r>
      <rPr>
        <b/>
        <sz val="9"/>
        <color theme="1"/>
        <rFont val="맑은 고딕"/>
        <family val="3"/>
        <charset val="129"/>
      </rPr>
      <t>기타인건비</t>
    </r>
    <phoneticPr fontId="2" type="noConversion"/>
  </si>
  <si>
    <r>
      <rPr>
        <sz val="9"/>
        <color theme="1"/>
        <rFont val="맑은 고딕"/>
        <family val="3"/>
        <charset val="129"/>
      </rPr>
      <t>퇴직급여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비율</t>
    </r>
    <phoneticPr fontId="2" type="noConversion"/>
  </si>
  <si>
    <r>
      <rPr>
        <sz val="9"/>
        <color theme="1"/>
        <rFont val="맑은 고딕"/>
        <family val="3"/>
        <charset val="129"/>
      </rPr>
      <t>복리후생비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비율</t>
    </r>
    <phoneticPr fontId="2" type="noConversion"/>
  </si>
  <si>
    <r>
      <rPr>
        <sz val="9"/>
        <color theme="1"/>
        <rFont val="맑은 고딕"/>
        <family val="3"/>
        <charset val="129"/>
      </rPr>
      <t>평균매출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대비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매출채권</t>
    </r>
    <phoneticPr fontId="2" type="noConversion"/>
  </si>
  <si>
    <r>
      <rPr>
        <sz val="9"/>
        <color theme="1"/>
        <rFont val="맑은 고딕"/>
        <family val="3"/>
        <charset val="129"/>
      </rPr>
      <t>평균재고원가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대비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재고자산</t>
    </r>
    <phoneticPr fontId="2" type="noConversion"/>
  </si>
  <si>
    <r>
      <rPr>
        <sz val="9"/>
        <color theme="1"/>
        <rFont val="맑은 고딕"/>
        <family val="3"/>
        <charset val="129"/>
      </rPr>
      <t>평균매출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대비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기타유동자산</t>
    </r>
    <phoneticPr fontId="2" type="noConversion"/>
  </si>
  <si>
    <r>
      <rPr>
        <sz val="9"/>
        <color theme="1"/>
        <rFont val="맑은 고딕"/>
        <family val="3"/>
        <charset val="129"/>
      </rPr>
      <t>평균변동원가대비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매입채무및기타채무</t>
    </r>
    <phoneticPr fontId="2" type="noConversion"/>
  </si>
  <si>
    <r>
      <rPr>
        <sz val="9"/>
        <color theme="1"/>
        <rFont val="맑은 고딕"/>
        <family val="3"/>
        <charset val="129"/>
      </rPr>
      <t>평균변동원가대비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기타유동부채</t>
    </r>
    <phoneticPr fontId="2" type="noConversion"/>
  </si>
  <si>
    <r>
      <t>DCF_</t>
    </r>
    <r>
      <rPr>
        <b/>
        <sz val="11"/>
        <color theme="7"/>
        <rFont val="맑은 고딕"/>
        <family val="3"/>
        <charset val="129"/>
      </rPr>
      <t>케이카</t>
    </r>
    <phoneticPr fontId="2" type="noConversion"/>
  </si>
  <si>
    <t>-</t>
    <phoneticPr fontId="2" type="noConversion"/>
  </si>
  <si>
    <t xml:space="preserve"> %YoY</t>
    <phoneticPr fontId="2" type="noConversion"/>
  </si>
  <si>
    <t xml:space="preserve"> % of Sales</t>
    <phoneticPr fontId="2" type="noConversion"/>
  </si>
  <si>
    <t>EBIT</t>
    <phoneticPr fontId="2" type="noConversion"/>
  </si>
  <si>
    <t>D&amp;A</t>
    <phoneticPr fontId="2" type="noConversion"/>
  </si>
  <si>
    <t>Depreciation</t>
    <phoneticPr fontId="2" type="noConversion"/>
  </si>
  <si>
    <t>Amortizaton</t>
    <phoneticPr fontId="2" type="noConversion"/>
  </si>
  <si>
    <t>Tax</t>
    <phoneticPr fontId="2" type="noConversion"/>
  </si>
  <si>
    <t>Marginal tax rate</t>
    <phoneticPr fontId="2" type="noConversion"/>
  </si>
  <si>
    <t>EBIT(1-t)</t>
    <phoneticPr fontId="2" type="noConversion"/>
  </si>
  <si>
    <t>(+) D&amp;A</t>
    <phoneticPr fontId="2" type="noConversion"/>
  </si>
  <si>
    <t>(-) CapEx</t>
    <phoneticPr fontId="2" type="noConversion"/>
  </si>
  <si>
    <r>
      <t xml:space="preserve">(-) </t>
    </r>
    <r>
      <rPr>
        <sz val="9"/>
        <color theme="1"/>
        <rFont val="맑은 고딕"/>
        <family val="3"/>
        <charset val="129"/>
      </rPr>
      <t>△</t>
    </r>
    <r>
      <rPr>
        <sz val="9"/>
        <color theme="1"/>
        <rFont val="Arial"/>
        <family val="2"/>
      </rPr>
      <t>NWC</t>
    </r>
    <phoneticPr fontId="2" type="noConversion"/>
  </si>
  <si>
    <t>Partial Period Factor</t>
  </si>
  <si>
    <t>Mid-year convention</t>
  </si>
  <si>
    <t>Present value factor</t>
  </si>
  <si>
    <t>Discounted FCFF</t>
    <phoneticPr fontId="2" type="noConversion"/>
  </si>
  <si>
    <t>WACC</t>
    <phoneticPr fontId="42" type="noConversion"/>
  </si>
  <si>
    <t>Terminal growth rate</t>
  </si>
  <si>
    <t>Equity value</t>
    <phoneticPr fontId="2" type="noConversion"/>
  </si>
  <si>
    <t>Sensitivity Analysis</t>
    <phoneticPr fontId="2" type="noConversion"/>
  </si>
  <si>
    <t>WACC</t>
    <phoneticPr fontId="2" type="noConversion"/>
  </si>
  <si>
    <t>Present Values of Free Cash Flow</t>
  </si>
  <si>
    <t>Terminal Values</t>
    <phoneticPr fontId="42" type="noConversion"/>
  </si>
  <si>
    <t>Operating Business Value</t>
  </si>
  <si>
    <t>Terminal</t>
    <phoneticPr fontId="2" type="noConversion"/>
  </si>
  <si>
    <t>Plus: Non-operating Assets</t>
  </si>
  <si>
    <t>growth ratio</t>
    <phoneticPr fontId="2" type="noConversion"/>
  </si>
  <si>
    <t>Less: Net debt</t>
    <phoneticPr fontId="42" type="noConversion"/>
  </si>
  <si>
    <t>Equity value</t>
  </si>
  <si>
    <t>유통주식수(주)</t>
    <phoneticPr fontId="2" type="noConversion"/>
  </si>
  <si>
    <t>총발행주식수(주)</t>
    <phoneticPr fontId="2" type="noConversion"/>
  </si>
  <si>
    <t>자기주식수(주)</t>
    <phoneticPr fontId="2" type="noConversion"/>
  </si>
  <si>
    <t>per share(KRW)</t>
    <phoneticPr fontId="2" type="noConversion"/>
  </si>
  <si>
    <t>Sales_bottom up</t>
    <phoneticPr fontId="2" type="noConversion"/>
  </si>
  <si>
    <t>% YoY</t>
    <phoneticPr fontId="2" type="noConversion"/>
  </si>
  <si>
    <r>
      <rPr>
        <i/>
        <sz val="9"/>
        <color theme="0" tint="-0.499984740745262"/>
        <rFont val="맑은 고딕"/>
        <family val="3"/>
        <charset val="129"/>
      </rPr>
      <t>중고차</t>
    </r>
    <r>
      <rPr>
        <i/>
        <sz val="9"/>
        <color theme="0" tint="-0.499984740745262"/>
        <rFont val="Arial"/>
        <family val="2"/>
      </rPr>
      <t xml:space="preserve"> </t>
    </r>
    <r>
      <rPr>
        <i/>
        <sz val="9"/>
        <color theme="0" tint="-0.499984740745262"/>
        <rFont val="맑은 고딕"/>
        <family val="3"/>
        <charset val="129"/>
      </rPr>
      <t>판매대수</t>
    </r>
    <phoneticPr fontId="2" type="noConversion"/>
  </si>
  <si>
    <r>
      <rPr>
        <sz val="9"/>
        <color theme="1"/>
        <rFont val="맑은 고딕"/>
        <family val="3"/>
        <charset val="129"/>
      </rPr>
      <t>이커머스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중고차판매</t>
    </r>
    <phoneticPr fontId="2" type="noConversion"/>
  </si>
  <si>
    <r>
      <rPr>
        <i/>
        <sz val="9"/>
        <color theme="0" tint="-0.499984740745262"/>
        <rFont val="맑은 고딕"/>
        <family val="3"/>
        <charset val="129"/>
      </rPr>
      <t>이커머스</t>
    </r>
    <r>
      <rPr>
        <i/>
        <sz val="9"/>
        <color theme="0" tint="-0.499984740745262"/>
        <rFont val="Arial"/>
        <family val="2"/>
      </rPr>
      <t xml:space="preserve"> </t>
    </r>
    <r>
      <rPr>
        <i/>
        <sz val="9"/>
        <color theme="0" tint="-0.499984740745262"/>
        <rFont val="맑은 고딕"/>
        <family val="3"/>
        <charset val="129"/>
      </rPr>
      <t>판매대수</t>
    </r>
    <phoneticPr fontId="2" type="noConversion"/>
  </si>
  <si>
    <r>
      <t>SUV(</t>
    </r>
    <r>
      <rPr>
        <sz val="9"/>
        <color rgb="FF000000"/>
        <rFont val="맑은 고딕"/>
        <family val="3"/>
        <charset val="129"/>
      </rPr>
      <t>이커머스</t>
    </r>
    <r>
      <rPr>
        <sz val="9"/>
        <color rgb="FF000000"/>
        <rFont val="Arial"/>
        <family val="2"/>
      </rPr>
      <t>)</t>
    </r>
    <phoneticPr fontId="2" type="noConversion"/>
  </si>
  <si>
    <r>
      <rPr>
        <i/>
        <sz val="9"/>
        <color theme="8" tint="-0.249977111117893"/>
        <rFont val="맑은 고딕"/>
        <family val="3"/>
        <charset val="129"/>
      </rPr>
      <t>가격</t>
    </r>
    <r>
      <rPr>
        <i/>
        <sz val="9"/>
        <color theme="8" tint="-0.249977111117893"/>
        <rFont val="Arial"/>
        <family val="2"/>
      </rPr>
      <t>(</t>
    </r>
    <r>
      <rPr>
        <i/>
        <sz val="9"/>
        <color theme="8" tint="-0.249977111117893"/>
        <rFont val="맑은 고딕"/>
        <family val="3"/>
        <charset val="129"/>
      </rPr>
      <t>천원</t>
    </r>
    <r>
      <rPr>
        <i/>
        <sz val="9"/>
        <color theme="8" tint="-0.249977111117893"/>
        <rFont val="Arial"/>
        <family val="2"/>
      </rPr>
      <t>)</t>
    </r>
    <phoneticPr fontId="2" type="noConversion"/>
  </si>
  <si>
    <r>
      <rPr>
        <i/>
        <sz val="9"/>
        <color theme="8" tint="-0.249977111117893"/>
        <rFont val="맑은 고딕"/>
        <family val="3"/>
        <charset val="129"/>
      </rPr>
      <t>판매대수</t>
    </r>
    <r>
      <rPr>
        <i/>
        <sz val="9"/>
        <color theme="8" tint="-0.249977111117893"/>
        <rFont val="Arial"/>
        <family val="2"/>
      </rPr>
      <t>(</t>
    </r>
    <r>
      <rPr>
        <i/>
        <sz val="9"/>
        <color theme="8" tint="-0.249977111117893"/>
        <rFont val="맑은 고딕"/>
        <family val="3"/>
        <charset val="129"/>
      </rPr>
      <t>대</t>
    </r>
    <r>
      <rPr>
        <i/>
        <sz val="9"/>
        <color theme="8" tint="-0.249977111117893"/>
        <rFont val="Arial"/>
        <family val="2"/>
      </rPr>
      <t>)</t>
    </r>
    <phoneticPr fontId="2" type="noConversion"/>
  </si>
  <si>
    <r>
      <rPr>
        <i/>
        <sz val="9"/>
        <color theme="1"/>
        <rFont val="맑은 고딕"/>
        <family val="3"/>
        <charset val="129"/>
      </rPr>
      <t>시장판매대수</t>
    </r>
    <r>
      <rPr>
        <i/>
        <sz val="9"/>
        <color theme="1"/>
        <rFont val="Arial"/>
        <family val="2"/>
      </rPr>
      <t>(</t>
    </r>
    <r>
      <rPr>
        <i/>
        <sz val="9"/>
        <color theme="1"/>
        <rFont val="맑은 고딕"/>
        <family val="3"/>
        <charset val="129"/>
      </rPr>
      <t>대</t>
    </r>
    <r>
      <rPr>
        <i/>
        <sz val="9"/>
        <color theme="1"/>
        <rFont val="Arial"/>
        <family val="2"/>
      </rPr>
      <t>)</t>
    </r>
    <phoneticPr fontId="2" type="noConversion"/>
  </si>
  <si>
    <r>
      <rPr>
        <i/>
        <sz val="9"/>
        <color theme="1"/>
        <rFont val="맑은 고딕"/>
        <family val="3"/>
        <charset val="129"/>
      </rPr>
      <t>점유율</t>
    </r>
    <phoneticPr fontId="2" type="noConversion"/>
  </si>
  <si>
    <r>
      <rPr>
        <sz val="9"/>
        <color rgb="FF000000"/>
        <rFont val="맑은 고딕"/>
        <family val="3"/>
        <charset val="129"/>
      </rPr>
      <t>대형</t>
    </r>
    <r>
      <rPr>
        <sz val="9"/>
        <color rgb="FF000000"/>
        <rFont val="Arial"/>
        <family val="2"/>
      </rPr>
      <t>(</t>
    </r>
    <r>
      <rPr>
        <sz val="9"/>
        <color rgb="FF000000"/>
        <rFont val="맑은 고딕"/>
        <family val="3"/>
        <charset val="129"/>
      </rPr>
      <t>이커머스</t>
    </r>
    <r>
      <rPr>
        <sz val="9"/>
        <color rgb="FF000000"/>
        <rFont val="Arial"/>
        <family val="2"/>
      </rPr>
      <t>)</t>
    </r>
    <phoneticPr fontId="2" type="noConversion"/>
  </si>
  <si>
    <r>
      <rPr>
        <sz val="9"/>
        <color rgb="FF000000"/>
        <rFont val="맑은 고딕"/>
        <family val="3"/>
        <charset val="129"/>
      </rPr>
      <t>중형</t>
    </r>
    <r>
      <rPr>
        <sz val="9"/>
        <color rgb="FF000000"/>
        <rFont val="Arial"/>
        <family val="2"/>
      </rPr>
      <t>(</t>
    </r>
    <r>
      <rPr>
        <sz val="9"/>
        <color rgb="FF000000"/>
        <rFont val="맑은 고딕"/>
        <family val="3"/>
        <charset val="129"/>
      </rPr>
      <t>이커머스</t>
    </r>
    <r>
      <rPr>
        <sz val="9"/>
        <color rgb="FF000000"/>
        <rFont val="Arial"/>
        <family val="2"/>
      </rPr>
      <t>)</t>
    </r>
    <phoneticPr fontId="2" type="noConversion"/>
  </si>
  <si>
    <r>
      <rPr>
        <sz val="9"/>
        <color rgb="FF000000"/>
        <rFont val="맑은 고딕"/>
        <family val="3"/>
        <charset val="129"/>
      </rPr>
      <t>준중형</t>
    </r>
    <r>
      <rPr>
        <sz val="9"/>
        <color rgb="FF000000"/>
        <rFont val="Arial"/>
        <family val="2"/>
      </rPr>
      <t>(</t>
    </r>
    <r>
      <rPr>
        <sz val="9"/>
        <color rgb="FF000000"/>
        <rFont val="맑은 고딕"/>
        <family val="3"/>
        <charset val="129"/>
      </rPr>
      <t>이커머스</t>
    </r>
    <r>
      <rPr>
        <sz val="9"/>
        <color rgb="FF000000"/>
        <rFont val="Arial"/>
        <family val="2"/>
      </rPr>
      <t>)</t>
    </r>
    <phoneticPr fontId="2" type="noConversion"/>
  </si>
  <si>
    <r>
      <rPr>
        <sz val="9"/>
        <color rgb="FF000000"/>
        <rFont val="맑은 고딕"/>
        <family val="3"/>
        <charset val="129"/>
      </rPr>
      <t>소형</t>
    </r>
    <r>
      <rPr>
        <sz val="9"/>
        <color rgb="FF000000"/>
        <rFont val="Arial"/>
        <family val="2"/>
      </rPr>
      <t>(</t>
    </r>
    <r>
      <rPr>
        <sz val="9"/>
        <color rgb="FF000000"/>
        <rFont val="맑은 고딕"/>
        <family val="3"/>
        <charset val="129"/>
      </rPr>
      <t>이커머스</t>
    </r>
    <r>
      <rPr>
        <sz val="9"/>
        <color rgb="FF000000"/>
        <rFont val="Arial"/>
        <family val="2"/>
      </rPr>
      <t>)</t>
    </r>
    <phoneticPr fontId="2" type="noConversion"/>
  </si>
  <si>
    <r>
      <rPr>
        <sz val="9"/>
        <color rgb="FF000000"/>
        <rFont val="맑은 고딕"/>
        <family val="3"/>
        <charset val="129"/>
      </rPr>
      <t>화물차</t>
    </r>
    <r>
      <rPr>
        <sz val="9"/>
        <color rgb="FF000000"/>
        <rFont val="Arial"/>
        <family val="2"/>
      </rPr>
      <t>(</t>
    </r>
    <r>
      <rPr>
        <sz val="9"/>
        <color rgb="FF000000"/>
        <rFont val="맑은 고딕"/>
        <family val="3"/>
        <charset val="129"/>
      </rPr>
      <t>이커머스</t>
    </r>
    <r>
      <rPr>
        <sz val="9"/>
        <color rgb="FF000000"/>
        <rFont val="Arial"/>
        <family val="2"/>
      </rPr>
      <t>)</t>
    </r>
    <phoneticPr fontId="2" type="noConversion"/>
  </si>
  <si>
    <r>
      <rPr>
        <sz val="9"/>
        <color rgb="FF000000"/>
        <rFont val="맑은 고딕"/>
        <family val="3"/>
        <charset val="129"/>
      </rPr>
      <t>기타</t>
    </r>
    <r>
      <rPr>
        <sz val="9"/>
        <color rgb="FF000000"/>
        <rFont val="Arial"/>
        <family val="2"/>
      </rPr>
      <t>(</t>
    </r>
    <r>
      <rPr>
        <sz val="9"/>
        <color rgb="FF000000"/>
        <rFont val="맑은 고딕"/>
        <family val="3"/>
        <charset val="129"/>
      </rPr>
      <t>이커머스</t>
    </r>
    <r>
      <rPr>
        <sz val="9"/>
        <color rgb="FF000000"/>
        <rFont val="Arial"/>
        <family val="2"/>
      </rPr>
      <t>)</t>
    </r>
    <phoneticPr fontId="2" type="noConversion"/>
  </si>
  <si>
    <r>
      <rPr>
        <sz val="9"/>
        <color theme="1"/>
        <rFont val="맑은 고딕"/>
        <family val="3"/>
        <charset val="129"/>
      </rPr>
      <t>지점내방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중고차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판매</t>
    </r>
    <phoneticPr fontId="2" type="noConversion"/>
  </si>
  <si>
    <r>
      <rPr>
        <i/>
        <sz val="9"/>
        <color theme="0" tint="-0.499984740745262"/>
        <rFont val="맑은 고딕"/>
        <family val="3"/>
        <charset val="129"/>
      </rPr>
      <t>지점내방</t>
    </r>
    <r>
      <rPr>
        <i/>
        <sz val="9"/>
        <color theme="0" tint="-0.499984740745262"/>
        <rFont val="Arial"/>
        <family val="2"/>
      </rPr>
      <t xml:space="preserve"> </t>
    </r>
    <r>
      <rPr>
        <i/>
        <sz val="9"/>
        <color theme="0" tint="-0.499984740745262"/>
        <rFont val="맑은 고딕"/>
        <family val="3"/>
        <charset val="129"/>
      </rPr>
      <t>판매대수</t>
    </r>
    <phoneticPr fontId="2" type="noConversion"/>
  </si>
  <si>
    <t>SUV</t>
  </si>
  <si>
    <r>
      <rPr>
        <sz val="9"/>
        <color rgb="FF000000"/>
        <rFont val="맑은 고딕"/>
        <family val="3"/>
        <charset val="129"/>
      </rPr>
      <t>대형</t>
    </r>
  </si>
  <si>
    <r>
      <rPr>
        <sz val="9"/>
        <color rgb="FF000000"/>
        <rFont val="맑은 고딕"/>
        <family val="3"/>
        <charset val="129"/>
      </rPr>
      <t>중형</t>
    </r>
  </si>
  <si>
    <r>
      <rPr>
        <sz val="9"/>
        <color rgb="FF000000"/>
        <rFont val="맑은 고딕"/>
        <family val="3"/>
        <charset val="129"/>
      </rPr>
      <t>준중형</t>
    </r>
  </si>
  <si>
    <r>
      <rPr>
        <sz val="9"/>
        <color rgb="FF000000"/>
        <rFont val="맑은 고딕"/>
        <family val="3"/>
        <charset val="129"/>
      </rPr>
      <t>소형</t>
    </r>
  </si>
  <si>
    <r>
      <rPr>
        <sz val="9"/>
        <color rgb="FF000000"/>
        <rFont val="맑은 고딕"/>
        <family val="3"/>
        <charset val="129"/>
      </rPr>
      <t>화물차</t>
    </r>
  </si>
  <si>
    <r>
      <rPr>
        <sz val="9"/>
        <color rgb="FF000000"/>
        <rFont val="맑은 고딕"/>
        <family val="3"/>
        <charset val="129"/>
      </rPr>
      <t>기타</t>
    </r>
  </si>
  <si>
    <r>
      <rPr>
        <sz val="9"/>
        <color theme="1"/>
        <rFont val="맑은 고딕"/>
        <family val="3"/>
        <charset val="129"/>
      </rPr>
      <t>상품</t>
    </r>
    <phoneticPr fontId="2" type="noConversion"/>
  </si>
  <si>
    <r>
      <rPr>
        <sz val="9"/>
        <color theme="1"/>
        <rFont val="맑은 고딕"/>
        <family val="3"/>
        <charset val="129"/>
      </rPr>
      <t>용역</t>
    </r>
    <phoneticPr fontId="2" type="noConversion"/>
  </si>
  <si>
    <r>
      <rPr>
        <b/>
        <sz val="9"/>
        <color theme="1"/>
        <rFont val="맑은 고딕"/>
        <family val="3"/>
        <charset val="129"/>
      </rPr>
      <t>렌터카</t>
    </r>
    <phoneticPr fontId="2" type="noConversion"/>
  </si>
  <si>
    <r>
      <rPr>
        <sz val="9"/>
        <color theme="1"/>
        <rFont val="맑은 고딕"/>
        <family val="3"/>
        <charset val="129"/>
      </rPr>
      <t>매각</t>
    </r>
    <phoneticPr fontId="2" type="noConversion"/>
  </si>
  <si>
    <r>
      <rPr>
        <sz val="9"/>
        <color theme="1"/>
        <rFont val="맑은 고딕"/>
        <family val="3"/>
        <charset val="129"/>
      </rPr>
      <t>장기렌트</t>
    </r>
    <phoneticPr fontId="2" type="noConversion"/>
  </si>
  <si>
    <r>
      <rPr>
        <b/>
        <sz val="9"/>
        <color theme="1"/>
        <rFont val="맑은 고딕"/>
        <family val="3"/>
        <charset val="129"/>
      </rPr>
      <t>기타</t>
    </r>
    <phoneticPr fontId="2" type="noConversion"/>
  </si>
  <si>
    <r>
      <rPr>
        <sz val="9"/>
        <color theme="1"/>
        <rFont val="맑은 고딕"/>
        <family val="3"/>
        <charset val="129"/>
      </rPr>
      <t>이커머스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용역</t>
    </r>
    <phoneticPr fontId="2" type="noConversion"/>
  </si>
  <si>
    <r>
      <t xml:space="preserve">% of </t>
    </r>
    <r>
      <rPr>
        <i/>
        <sz val="9"/>
        <color theme="0" tint="-0.499984740745262"/>
        <rFont val="맑은 고딕"/>
        <family val="3"/>
        <charset val="129"/>
      </rPr>
      <t>이커머스</t>
    </r>
    <r>
      <rPr>
        <i/>
        <sz val="9"/>
        <color theme="0" tint="-0.499984740745262"/>
        <rFont val="Arial"/>
        <family val="2"/>
      </rPr>
      <t xml:space="preserve"> Sales</t>
    </r>
    <phoneticPr fontId="2" type="noConversion"/>
  </si>
  <si>
    <r>
      <rPr>
        <sz val="9"/>
        <color theme="1"/>
        <rFont val="맑은 고딕"/>
        <family val="3"/>
        <charset val="129"/>
      </rPr>
      <t>지점내방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용역</t>
    </r>
    <phoneticPr fontId="2" type="noConversion"/>
  </si>
  <si>
    <r>
      <t xml:space="preserve">% of </t>
    </r>
    <r>
      <rPr>
        <i/>
        <sz val="9"/>
        <color theme="0" tint="-0.499984740745262"/>
        <rFont val="맑은 고딕"/>
        <family val="3"/>
        <charset val="129"/>
      </rPr>
      <t>지점내방</t>
    </r>
    <r>
      <rPr>
        <i/>
        <sz val="9"/>
        <color theme="0" tint="-0.499984740745262"/>
        <rFont val="Arial"/>
        <family val="2"/>
      </rPr>
      <t xml:space="preserve"> Sales</t>
    </r>
    <phoneticPr fontId="2" type="noConversion"/>
  </si>
  <si>
    <r>
      <rPr>
        <sz val="9"/>
        <color theme="1"/>
        <rFont val="맑은 고딕"/>
        <family val="3"/>
        <charset val="129"/>
      </rPr>
      <t>기타</t>
    </r>
    <phoneticPr fontId="2" type="noConversion"/>
  </si>
  <si>
    <t>% Other Sales</t>
    <phoneticPr fontId="2" type="noConversion"/>
  </si>
  <si>
    <t>Total Sales</t>
    <phoneticPr fontId="2" type="noConversion"/>
  </si>
  <si>
    <r>
      <rPr>
        <sz val="9"/>
        <color theme="1"/>
        <rFont val="맑은 고딕"/>
        <family val="3"/>
        <charset val="129"/>
      </rPr>
      <t>이커머스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판매대수</t>
    </r>
    <r>
      <rPr>
        <sz val="9"/>
        <color theme="1"/>
        <rFont val="Arial"/>
        <family val="2"/>
      </rPr>
      <t>&gt;&gt;</t>
    </r>
    <phoneticPr fontId="2" type="noConversion"/>
  </si>
  <si>
    <r>
      <rPr>
        <sz val="9"/>
        <color theme="1"/>
        <rFont val="맑은 고딕"/>
        <family val="3"/>
        <charset val="129"/>
      </rPr>
      <t>지점내방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판매다수</t>
    </r>
    <r>
      <rPr>
        <sz val="9"/>
        <color theme="1"/>
        <rFont val="Arial"/>
        <family val="2"/>
      </rPr>
      <t>&gt;&gt;</t>
    </r>
    <phoneticPr fontId="2" type="noConversion"/>
  </si>
  <si>
    <t>Sales bridge</t>
    <phoneticPr fontId="2" type="noConversion"/>
  </si>
  <si>
    <r>
      <rPr>
        <b/>
        <sz val="9"/>
        <color theme="1"/>
        <rFont val="맑은 고딕"/>
        <family val="3"/>
        <charset val="129"/>
      </rPr>
      <t>이커머스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판매매출</t>
    </r>
    <phoneticPr fontId="2" type="noConversion"/>
  </si>
  <si>
    <r>
      <rPr>
        <sz val="9"/>
        <color theme="1"/>
        <rFont val="맑은 고딕"/>
        <family val="3"/>
        <charset val="129"/>
      </rPr>
      <t>이커머스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총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판매대수</t>
    </r>
    <phoneticPr fontId="2" type="noConversion"/>
  </si>
  <si>
    <r>
      <rPr>
        <sz val="9"/>
        <color theme="1"/>
        <rFont val="맑은 고딕"/>
        <family val="3"/>
        <charset val="129"/>
      </rPr>
      <t>케이카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이커머스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점유율</t>
    </r>
    <phoneticPr fontId="2" type="noConversion"/>
  </si>
  <si>
    <r>
      <rPr>
        <sz val="9"/>
        <color theme="1"/>
        <rFont val="맑은 고딕"/>
        <family val="3"/>
        <charset val="129"/>
      </rPr>
      <t>케이카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이커머스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판매대수</t>
    </r>
    <phoneticPr fontId="2" type="noConversion"/>
  </si>
  <si>
    <r>
      <rPr>
        <sz val="9"/>
        <color theme="1"/>
        <rFont val="맑은 고딕"/>
        <family val="3"/>
        <charset val="129"/>
      </rPr>
      <t>이커머스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평균판매가격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천원</t>
    </r>
    <r>
      <rPr>
        <sz val="9"/>
        <color theme="1"/>
        <rFont val="Arial"/>
        <family val="2"/>
      </rPr>
      <t>)</t>
    </r>
    <phoneticPr fontId="2" type="noConversion"/>
  </si>
  <si>
    <r>
      <rPr>
        <b/>
        <sz val="9"/>
        <color theme="1"/>
        <rFont val="맑은 고딕"/>
        <family val="3"/>
        <charset val="129"/>
      </rPr>
      <t>지점내방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판매매출</t>
    </r>
    <phoneticPr fontId="2" type="noConversion"/>
  </si>
  <si>
    <r>
      <rPr>
        <sz val="9"/>
        <color theme="1"/>
        <rFont val="맑은 고딕"/>
        <family val="3"/>
        <charset val="129"/>
      </rPr>
      <t>지점내방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총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판매대수</t>
    </r>
  </si>
  <si>
    <r>
      <rPr>
        <sz val="9"/>
        <color theme="1"/>
        <rFont val="맑은 고딕"/>
        <family val="3"/>
        <charset val="129"/>
      </rPr>
      <t>케이카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지점내방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점유율</t>
    </r>
  </si>
  <si>
    <r>
      <rPr>
        <sz val="9"/>
        <color theme="1"/>
        <rFont val="맑은 고딕"/>
        <family val="3"/>
        <charset val="129"/>
      </rPr>
      <t>케이카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지점내방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판매대수</t>
    </r>
  </si>
  <si>
    <r>
      <rPr>
        <sz val="9"/>
        <color theme="1"/>
        <rFont val="맑은 고딕"/>
        <family val="3"/>
        <charset val="129"/>
      </rPr>
      <t>지점내방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평균판매가격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천원</t>
    </r>
    <r>
      <rPr>
        <sz val="9"/>
        <color theme="1"/>
        <rFont val="Arial"/>
        <family val="2"/>
      </rPr>
      <t>)</t>
    </r>
  </si>
  <si>
    <t>총매출</t>
    <phoneticPr fontId="2" type="noConversion"/>
  </si>
  <si>
    <t>2018 Sales</t>
    <phoneticPr fontId="2" type="noConversion"/>
  </si>
  <si>
    <r>
      <rPr>
        <sz val="9"/>
        <color theme="1"/>
        <rFont val="맑은 고딕"/>
        <family val="3"/>
        <charset val="129"/>
      </rPr>
      <t>이커머스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시장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△</t>
    </r>
    <r>
      <rPr>
        <sz val="9"/>
        <color theme="1"/>
        <rFont val="Arial"/>
        <family val="2"/>
      </rPr>
      <t>Q</t>
    </r>
    <phoneticPr fontId="2" type="noConversion"/>
  </si>
  <si>
    <r>
      <rPr>
        <sz val="9"/>
        <color theme="1"/>
        <rFont val="맑은 고딕"/>
        <family val="3"/>
        <charset val="129"/>
      </rPr>
      <t>이커머스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△점유율</t>
    </r>
    <phoneticPr fontId="2" type="noConversion"/>
  </si>
  <si>
    <r>
      <rPr>
        <sz val="9"/>
        <color theme="1"/>
        <rFont val="맑은 고딕"/>
        <family val="3"/>
        <charset val="129"/>
      </rPr>
      <t>이커머스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△가격</t>
    </r>
    <phoneticPr fontId="2" type="noConversion"/>
  </si>
  <si>
    <r>
      <rPr>
        <sz val="9"/>
        <color theme="1"/>
        <rFont val="맑은 고딕"/>
        <family val="3"/>
        <charset val="129"/>
      </rPr>
      <t>이커머스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복합효과</t>
    </r>
    <phoneticPr fontId="2" type="noConversion"/>
  </si>
  <si>
    <r>
      <rPr>
        <sz val="9"/>
        <color theme="1"/>
        <rFont val="맑은 고딕"/>
        <family val="3"/>
        <charset val="129"/>
      </rPr>
      <t>지점내방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시장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△</t>
    </r>
    <r>
      <rPr>
        <sz val="9"/>
        <color theme="1"/>
        <rFont val="Arial"/>
        <family val="2"/>
      </rPr>
      <t>Q</t>
    </r>
  </si>
  <si>
    <r>
      <rPr>
        <sz val="9"/>
        <color theme="1"/>
        <rFont val="맑은 고딕"/>
        <family val="3"/>
        <charset val="129"/>
      </rPr>
      <t>지점내방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△점유율</t>
    </r>
  </si>
  <si>
    <r>
      <rPr>
        <sz val="9"/>
        <color theme="1"/>
        <rFont val="맑은 고딕"/>
        <family val="3"/>
        <charset val="129"/>
      </rPr>
      <t>지점내방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△가격</t>
    </r>
    <phoneticPr fontId="2" type="noConversion"/>
  </si>
  <si>
    <r>
      <rPr>
        <sz val="9"/>
        <color theme="1"/>
        <rFont val="맑은 고딕"/>
        <family val="3"/>
        <charset val="129"/>
      </rPr>
      <t>지점내방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복합효과</t>
    </r>
    <phoneticPr fontId="2" type="noConversion"/>
  </si>
  <si>
    <r>
      <rPr>
        <sz val="9"/>
        <color theme="1"/>
        <rFont val="맑은 고딕"/>
        <family val="3"/>
        <charset val="129"/>
      </rPr>
      <t>△경매매출</t>
    </r>
    <phoneticPr fontId="2" type="noConversion"/>
  </si>
  <si>
    <r>
      <rPr>
        <sz val="9"/>
        <color theme="1"/>
        <rFont val="맑은 고딕"/>
        <family val="3"/>
        <charset val="129"/>
      </rPr>
      <t>△렌터카매출</t>
    </r>
    <phoneticPr fontId="2" type="noConversion"/>
  </si>
  <si>
    <r>
      <rPr>
        <sz val="9"/>
        <color theme="1"/>
        <rFont val="맑은 고딕"/>
        <family val="3"/>
        <charset val="129"/>
      </rPr>
      <t>△기타매출</t>
    </r>
    <phoneticPr fontId="2" type="noConversion"/>
  </si>
  <si>
    <t>2019 Sales</t>
    <phoneticPr fontId="2" type="noConversion"/>
  </si>
  <si>
    <t>2020 Sales</t>
    <phoneticPr fontId="2" type="noConversion"/>
  </si>
  <si>
    <t>2021 Sales</t>
    <phoneticPr fontId="2" type="noConversion"/>
  </si>
  <si>
    <t>중고차 판매대수</t>
    <phoneticPr fontId="2" type="noConversion"/>
  </si>
  <si>
    <t>중고차 Sales</t>
    <phoneticPr fontId="2" type="noConversion"/>
  </si>
  <si>
    <t>렌터카 매각 Sales</t>
    <phoneticPr fontId="2" type="noConversion"/>
  </si>
  <si>
    <t>인건비</t>
    <phoneticPr fontId="2" type="noConversion"/>
  </si>
  <si>
    <t>% of Sales</t>
    <phoneticPr fontId="2" type="noConversion"/>
  </si>
  <si>
    <t>종업원급여</t>
  </si>
  <si>
    <t>퇴직급여</t>
    <phoneticPr fontId="2" type="noConversion"/>
  </si>
  <si>
    <t>복리후생비</t>
  </si>
  <si>
    <t>주식보상비용</t>
  </si>
  <si>
    <t>% of Labor</t>
    <phoneticPr fontId="2" type="noConversion"/>
  </si>
  <si>
    <t>상각비</t>
    <phoneticPr fontId="2" type="noConversion"/>
  </si>
  <si>
    <t>감가상각비</t>
  </si>
  <si>
    <t>무형자산상각비</t>
  </si>
  <si>
    <t>변동비</t>
    <phoneticPr fontId="2" type="noConversion"/>
  </si>
  <si>
    <t>% of Total Sales</t>
    <phoneticPr fontId="2" type="noConversion"/>
  </si>
  <si>
    <t>재고자산원가</t>
    <phoneticPr fontId="2" type="noConversion"/>
  </si>
  <si>
    <t>중고차 1대당 원가</t>
    <phoneticPr fontId="2" type="noConversion"/>
  </si>
  <si>
    <t>% of 중고차 Sales</t>
    <phoneticPr fontId="2" type="noConversion"/>
  </si>
  <si>
    <t>판매보증비</t>
  </si>
  <si>
    <t>중고차 1대당 보증비</t>
    <phoneticPr fontId="2" type="noConversion"/>
  </si>
  <si>
    <t>차량매각원가</t>
  </si>
  <si>
    <t>% of 렌터카매각 Sales</t>
    <phoneticPr fontId="2" type="noConversion"/>
  </si>
  <si>
    <t>지급수수료</t>
  </si>
  <si>
    <t>부품비</t>
  </si>
  <si>
    <t>세금과공과</t>
  </si>
  <si>
    <t>위탁차량비</t>
  </si>
  <si>
    <t>소모품비</t>
  </si>
  <si>
    <t>보험료</t>
  </si>
  <si>
    <t>기타비용</t>
  </si>
  <si>
    <t>고정비</t>
    <phoneticPr fontId="2" type="noConversion"/>
  </si>
  <si>
    <t>여비교통비</t>
  </si>
  <si>
    <t>대손상각비</t>
  </si>
  <si>
    <t>접대비</t>
  </si>
  <si>
    <t>지급임차료</t>
  </si>
  <si>
    <t>차량유지비</t>
  </si>
  <si>
    <t>운반비</t>
  </si>
  <si>
    <t>Total Labor</t>
    <phoneticPr fontId="2" type="noConversion"/>
  </si>
  <si>
    <t>check&gt;&gt;</t>
    <phoneticPr fontId="2" type="noConversion"/>
  </si>
  <si>
    <t>Forecast</t>
    <phoneticPr fontId="2" type="noConversion"/>
  </si>
  <si>
    <t>CapEx</t>
    <phoneticPr fontId="2" type="noConversion"/>
  </si>
  <si>
    <t>유형자산(사용권)</t>
    <phoneticPr fontId="2" type="noConversion"/>
  </si>
  <si>
    <r>
      <rPr>
        <sz val="9"/>
        <color theme="1"/>
        <rFont val="맑은 고딕"/>
        <family val="3"/>
        <charset val="129"/>
      </rPr>
      <t>무형자산</t>
    </r>
    <phoneticPr fontId="2" type="noConversion"/>
  </si>
  <si>
    <r>
      <rPr>
        <sz val="9"/>
        <color theme="1"/>
        <rFont val="맑은 고딕"/>
        <family val="3"/>
        <charset val="129"/>
      </rPr>
      <t>유형자산</t>
    </r>
    <phoneticPr fontId="2" type="noConversion"/>
  </si>
  <si>
    <r>
      <rPr>
        <b/>
        <sz val="9"/>
        <color theme="1"/>
        <rFont val="맑은 고딕"/>
        <family val="3"/>
        <charset val="129"/>
      </rPr>
      <t>기타변동</t>
    </r>
    <phoneticPr fontId="2" type="noConversion"/>
  </si>
  <si>
    <r>
      <rPr>
        <b/>
        <sz val="9"/>
        <color theme="1"/>
        <rFont val="맑은 고딕"/>
        <family val="3"/>
        <charset val="129"/>
      </rPr>
      <t>장부가액</t>
    </r>
    <phoneticPr fontId="2" type="noConversion"/>
  </si>
  <si>
    <r>
      <rPr>
        <b/>
        <sz val="9"/>
        <color theme="1"/>
        <rFont val="맑은 고딕"/>
        <family val="3"/>
        <charset val="129"/>
      </rPr>
      <t>상각비</t>
    </r>
    <r>
      <rPr>
        <b/>
        <sz val="9"/>
        <color theme="1"/>
        <rFont val="Arial"/>
        <family val="2"/>
      </rPr>
      <t>/</t>
    </r>
    <r>
      <rPr>
        <b/>
        <sz val="9"/>
        <color theme="1"/>
        <rFont val="맑은 고딕"/>
        <family val="3"/>
        <charset val="129"/>
      </rPr>
      <t>장부가액</t>
    </r>
    <phoneticPr fontId="2" type="noConversion"/>
  </si>
  <si>
    <t>경매</t>
    <phoneticPr fontId="2" type="noConversion"/>
  </si>
  <si>
    <t>렌탈</t>
    <phoneticPr fontId="2" type="noConversion"/>
  </si>
  <si>
    <t>종업원 급여</t>
    <phoneticPr fontId="2" type="noConversion"/>
  </si>
  <si>
    <r>
      <rPr>
        <sz val="9"/>
        <color rgb="FF000000"/>
        <rFont val="맑은 고딕"/>
        <family val="3"/>
        <charset val="129"/>
      </rPr>
      <t>중고차</t>
    </r>
  </si>
  <si>
    <r>
      <rPr>
        <i/>
        <sz val="9"/>
        <color theme="0" tint="-0.499984740745262"/>
        <rFont val="맑은 고딕"/>
        <family val="3"/>
        <charset val="129"/>
      </rPr>
      <t>남</t>
    </r>
  </si>
  <si>
    <r>
      <rPr>
        <i/>
        <sz val="9"/>
        <color theme="7" tint="-0.249977111117893"/>
        <rFont val="맑은 고딕"/>
        <family val="3"/>
        <charset val="129"/>
      </rPr>
      <t>직원수</t>
    </r>
    <phoneticPr fontId="2" type="noConversion"/>
  </si>
  <si>
    <r>
      <t>1</t>
    </r>
    <r>
      <rPr>
        <i/>
        <sz val="9"/>
        <color theme="0" tint="-0.499984740745262"/>
        <rFont val="맑은 고딕"/>
        <family val="3"/>
        <charset val="129"/>
      </rPr>
      <t>인당</t>
    </r>
    <r>
      <rPr>
        <i/>
        <sz val="9"/>
        <color theme="0" tint="-0.499984740745262"/>
        <rFont val="Arial"/>
        <family val="2"/>
      </rPr>
      <t xml:space="preserve"> </t>
    </r>
    <r>
      <rPr>
        <i/>
        <sz val="9"/>
        <color theme="0" tint="-0.499984740745262"/>
        <rFont val="맑은 고딕"/>
        <family val="3"/>
        <charset val="129"/>
      </rPr>
      <t>판매대수</t>
    </r>
    <phoneticPr fontId="2" type="noConversion"/>
  </si>
  <si>
    <r>
      <rPr>
        <i/>
        <sz val="9"/>
        <color theme="7" tint="-0.249977111117893"/>
        <rFont val="맑은 고딕"/>
        <family val="3"/>
        <charset val="129"/>
      </rPr>
      <t>평균급여</t>
    </r>
    <phoneticPr fontId="2" type="noConversion"/>
  </si>
  <si>
    <t>여</t>
    <phoneticPr fontId="2" type="noConversion"/>
  </si>
  <si>
    <r>
      <rPr>
        <sz val="9"/>
        <color rgb="FF000000"/>
        <rFont val="맑은 고딕"/>
        <family val="3"/>
        <charset val="129"/>
      </rPr>
      <t>경매</t>
    </r>
  </si>
  <si>
    <r>
      <t>1</t>
    </r>
    <r>
      <rPr>
        <i/>
        <sz val="9"/>
        <color theme="0" tint="-0.499984740745262"/>
        <rFont val="맑은 고딕"/>
        <family val="3"/>
        <charset val="129"/>
      </rPr>
      <t>인당</t>
    </r>
    <r>
      <rPr>
        <i/>
        <sz val="9"/>
        <color theme="0" tint="-0.499984740745262"/>
        <rFont val="Arial"/>
        <family val="2"/>
      </rPr>
      <t xml:space="preserve"> </t>
    </r>
    <r>
      <rPr>
        <i/>
        <sz val="9"/>
        <color theme="0" tint="-0.499984740745262"/>
        <rFont val="맑은 고딕"/>
        <family val="3"/>
        <charset val="129"/>
      </rPr>
      <t>경매매출</t>
    </r>
    <phoneticPr fontId="2" type="noConversion"/>
  </si>
  <si>
    <r>
      <rPr>
        <sz val="9"/>
        <color rgb="FF000000"/>
        <rFont val="맑은 고딕"/>
        <family val="3"/>
        <charset val="129"/>
      </rPr>
      <t>렌탈</t>
    </r>
  </si>
  <si>
    <r>
      <t>1</t>
    </r>
    <r>
      <rPr>
        <i/>
        <sz val="9"/>
        <color theme="0" tint="-0.499984740745262"/>
        <rFont val="맑은 고딕"/>
        <family val="3"/>
        <charset val="129"/>
      </rPr>
      <t>인당</t>
    </r>
    <r>
      <rPr>
        <i/>
        <sz val="9"/>
        <color theme="0" tint="-0.499984740745262"/>
        <rFont val="Arial"/>
        <family val="2"/>
      </rPr>
      <t xml:space="preserve"> </t>
    </r>
    <r>
      <rPr>
        <i/>
        <sz val="9"/>
        <color theme="0" tint="-0.499984740745262"/>
        <rFont val="맑은 고딕"/>
        <family val="3"/>
        <charset val="129"/>
      </rPr>
      <t>렌탈매출</t>
    </r>
    <phoneticPr fontId="2" type="noConversion"/>
  </si>
  <si>
    <r>
      <rPr>
        <sz val="9"/>
        <color rgb="FF000000"/>
        <rFont val="맑은 고딕"/>
        <family val="3"/>
        <charset val="129"/>
      </rPr>
      <t>마케팅</t>
    </r>
  </si>
  <si>
    <t>IT</t>
  </si>
  <si>
    <r>
      <rPr>
        <sz val="9"/>
        <color rgb="FF000000"/>
        <rFont val="맑은 고딕"/>
        <family val="3"/>
        <charset val="129"/>
      </rPr>
      <t>사무</t>
    </r>
  </si>
  <si>
    <t>% of 종업원급여</t>
    <phoneticPr fontId="2" type="noConversion"/>
  </si>
  <si>
    <t>복리후생비</t>
    <phoneticPr fontId="2" type="noConversion"/>
  </si>
  <si>
    <t>KRW in 100 millions</t>
    <phoneticPr fontId="2" type="noConversion"/>
  </si>
  <si>
    <r>
      <rPr>
        <b/>
        <sz val="9"/>
        <color theme="1"/>
        <rFont val="맑은 고딕"/>
        <family val="3"/>
        <charset val="129"/>
      </rPr>
      <t>영업유동자산</t>
    </r>
    <phoneticPr fontId="2" type="noConversion"/>
  </si>
  <si>
    <r>
      <rPr>
        <sz val="9"/>
        <color theme="1"/>
        <rFont val="맑은 고딕"/>
        <family val="3"/>
        <charset val="129"/>
      </rPr>
      <t>매출채권</t>
    </r>
  </si>
  <si>
    <t>재고자산</t>
    <phoneticPr fontId="2" type="noConversion"/>
  </si>
  <si>
    <r>
      <t xml:space="preserve">% of </t>
    </r>
    <r>
      <rPr>
        <i/>
        <sz val="9"/>
        <color theme="0" tint="-0.499984740745262"/>
        <rFont val="맑은 고딕"/>
        <family val="3"/>
        <charset val="129"/>
      </rPr>
      <t>재고자산원가</t>
    </r>
    <phoneticPr fontId="2" type="noConversion"/>
  </si>
  <si>
    <t>기타유동자산</t>
  </si>
  <si>
    <r>
      <rPr>
        <b/>
        <sz val="9"/>
        <color theme="1"/>
        <rFont val="맑은 고딕"/>
        <family val="3"/>
        <charset val="129"/>
      </rPr>
      <t>영업유동부채</t>
    </r>
    <phoneticPr fontId="2" type="noConversion"/>
  </si>
  <si>
    <t>매입채무및기타채무</t>
  </si>
  <si>
    <t>% of V.C</t>
    <phoneticPr fontId="2" type="noConversion"/>
  </si>
  <si>
    <t>기타유동부채</t>
  </si>
  <si>
    <r>
      <rPr>
        <sz val="9"/>
        <color theme="1"/>
        <rFont val="맑은 고딕"/>
        <family val="3"/>
        <charset val="129"/>
      </rPr>
      <t>△</t>
    </r>
    <r>
      <rPr>
        <sz val="9"/>
        <color theme="1"/>
        <rFont val="Arial"/>
        <family val="2"/>
      </rPr>
      <t>NWC</t>
    </r>
    <phoneticPr fontId="2" type="noConversion"/>
  </si>
  <si>
    <t>DSO</t>
    <phoneticPr fontId="2" type="noConversion"/>
  </si>
  <si>
    <t>DIO</t>
    <phoneticPr fontId="2" type="noConversion"/>
  </si>
  <si>
    <t>DPO</t>
    <phoneticPr fontId="2" type="noConversion"/>
  </si>
  <si>
    <t>Balance Sheet</t>
    <phoneticPr fontId="2" type="noConversion"/>
  </si>
  <si>
    <t>2021.1H</t>
    <phoneticPr fontId="2" type="noConversion"/>
  </si>
  <si>
    <t>분류</t>
    <phoneticPr fontId="2" type="noConversion"/>
  </si>
  <si>
    <r>
      <rPr>
        <b/>
        <sz val="9"/>
        <color rgb="FF000000"/>
        <rFont val="맑은 고딕"/>
        <family val="3"/>
        <charset val="129"/>
      </rPr>
      <t>자산</t>
    </r>
    <phoneticPr fontId="2" type="noConversion"/>
  </si>
  <si>
    <r>
      <rPr>
        <sz val="9"/>
        <color rgb="FF000000"/>
        <rFont val="맑은 고딕"/>
        <family val="3"/>
        <charset val="129"/>
      </rPr>
      <t>유동자산</t>
    </r>
  </si>
  <si>
    <r>
      <rPr>
        <sz val="9"/>
        <color rgb="FF000000"/>
        <rFont val="맑은 고딕"/>
        <family val="3"/>
        <charset val="129"/>
      </rPr>
      <t>현금및현금성자산</t>
    </r>
  </si>
  <si>
    <t>C.E</t>
    <phoneticPr fontId="2" type="noConversion"/>
  </si>
  <si>
    <r>
      <rPr>
        <sz val="9"/>
        <color rgb="FF000000"/>
        <rFont val="맑은 고딕"/>
        <family val="3"/>
        <charset val="129"/>
      </rPr>
      <t>매출채권및기타채권</t>
    </r>
  </si>
  <si>
    <r>
      <rPr>
        <sz val="9"/>
        <color rgb="FF000000"/>
        <rFont val="맑은 고딕"/>
        <family val="3"/>
        <charset val="129"/>
      </rPr>
      <t>단기금융상품</t>
    </r>
  </si>
  <si>
    <r>
      <rPr>
        <sz val="9"/>
        <color rgb="FF000000"/>
        <rFont val="맑은 고딕"/>
        <family val="3"/>
        <charset val="129"/>
      </rPr>
      <t>기타금융자산</t>
    </r>
  </si>
  <si>
    <r>
      <rPr>
        <sz val="9"/>
        <color rgb="FF000000"/>
        <rFont val="맑은 고딕"/>
        <family val="3"/>
        <charset val="129"/>
      </rPr>
      <t>기타유동자산</t>
    </r>
  </si>
  <si>
    <r>
      <rPr>
        <sz val="9"/>
        <color rgb="FF000000"/>
        <rFont val="맑은 고딕"/>
        <family val="3"/>
        <charset val="129"/>
      </rPr>
      <t>재고자산</t>
    </r>
  </si>
  <si>
    <r>
      <rPr>
        <sz val="9"/>
        <color rgb="FF000000"/>
        <rFont val="맑은 고딕"/>
        <family val="3"/>
        <charset val="129"/>
      </rPr>
      <t>당기법인세자산</t>
    </r>
  </si>
  <si>
    <r>
      <rPr>
        <sz val="9"/>
        <color rgb="FF000000"/>
        <rFont val="맑은 고딕"/>
        <family val="3"/>
        <charset val="129"/>
      </rPr>
      <t>비유동자산</t>
    </r>
  </si>
  <si>
    <r>
      <rPr>
        <sz val="9"/>
        <color rgb="FF000000"/>
        <rFont val="맑은 고딕"/>
        <family val="3"/>
        <charset val="129"/>
      </rPr>
      <t>장기기타금융자산</t>
    </r>
  </si>
  <si>
    <r>
      <rPr>
        <sz val="9"/>
        <color rgb="FF000000"/>
        <rFont val="맑은 고딕"/>
        <family val="3"/>
        <charset val="129"/>
      </rPr>
      <t>유형자산</t>
    </r>
  </si>
  <si>
    <r>
      <rPr>
        <sz val="9"/>
        <color rgb="FF000000"/>
        <rFont val="맑은 고딕"/>
        <family val="3"/>
        <charset val="129"/>
      </rPr>
      <t>무형자산</t>
    </r>
  </si>
  <si>
    <r>
      <rPr>
        <sz val="9"/>
        <color rgb="FF000000"/>
        <rFont val="맑은 고딕"/>
        <family val="3"/>
        <charset val="129"/>
      </rPr>
      <t>사용권자산</t>
    </r>
  </si>
  <si>
    <r>
      <rPr>
        <sz val="9"/>
        <color rgb="FF000000"/>
        <rFont val="맑은 고딕"/>
        <family val="3"/>
        <charset val="129"/>
      </rPr>
      <t>이연법인세자산</t>
    </r>
  </si>
  <si>
    <r>
      <rPr>
        <sz val="9"/>
        <color rgb="FF000000"/>
        <rFont val="맑은 고딕"/>
        <family val="3"/>
        <charset val="129"/>
      </rPr>
      <t>기타비유동자산</t>
    </r>
  </si>
  <si>
    <r>
      <rPr>
        <b/>
        <sz val="9"/>
        <color rgb="FF000000"/>
        <rFont val="맑은 고딕"/>
        <family val="3"/>
        <charset val="129"/>
      </rPr>
      <t>부채</t>
    </r>
    <phoneticPr fontId="2" type="noConversion"/>
  </si>
  <si>
    <r>
      <rPr>
        <sz val="9"/>
        <color rgb="FF000000"/>
        <rFont val="맑은 고딕"/>
        <family val="3"/>
        <charset val="129"/>
      </rPr>
      <t>유동부채</t>
    </r>
  </si>
  <si>
    <r>
      <rPr>
        <sz val="9"/>
        <color rgb="FF000000"/>
        <rFont val="맑은 고딕"/>
        <family val="3"/>
        <charset val="129"/>
      </rPr>
      <t>매입채무및기타채무</t>
    </r>
  </si>
  <si>
    <r>
      <rPr>
        <sz val="9"/>
        <color rgb="FF000000"/>
        <rFont val="맑은 고딕"/>
        <family val="3"/>
        <charset val="129"/>
      </rPr>
      <t>기타금융부채</t>
    </r>
  </si>
  <si>
    <r>
      <rPr>
        <sz val="9"/>
        <color rgb="FF000000"/>
        <rFont val="맑은 고딕"/>
        <family val="3"/>
        <charset val="129"/>
      </rPr>
      <t>차입금</t>
    </r>
  </si>
  <si>
    <r>
      <rPr>
        <sz val="9"/>
        <color rgb="FF000000"/>
        <rFont val="맑은 고딕"/>
        <family val="3"/>
        <charset val="129"/>
      </rPr>
      <t>기타유동부채</t>
    </r>
  </si>
  <si>
    <r>
      <rPr>
        <sz val="9"/>
        <color rgb="FF000000"/>
        <rFont val="맑은 고딕"/>
        <family val="3"/>
        <charset val="129"/>
      </rPr>
      <t>리스부채</t>
    </r>
    <r>
      <rPr>
        <sz val="9"/>
        <color rgb="FF000000"/>
        <rFont val="Arial"/>
        <family val="2"/>
      </rPr>
      <t>(</t>
    </r>
    <r>
      <rPr>
        <sz val="9"/>
        <color rgb="FF000000"/>
        <rFont val="맑은 고딕"/>
        <family val="3"/>
        <charset val="129"/>
      </rPr>
      <t>유동</t>
    </r>
    <r>
      <rPr>
        <sz val="9"/>
        <color rgb="FF000000"/>
        <rFont val="Arial"/>
        <family val="2"/>
      </rPr>
      <t>)</t>
    </r>
  </si>
  <si>
    <t>IBD</t>
    <phoneticPr fontId="2" type="noConversion"/>
  </si>
  <si>
    <r>
      <rPr>
        <sz val="9"/>
        <color rgb="FF000000"/>
        <rFont val="맑은 고딕"/>
        <family val="3"/>
        <charset val="129"/>
      </rPr>
      <t>당기법인세부채</t>
    </r>
  </si>
  <si>
    <r>
      <rPr>
        <sz val="9"/>
        <color rgb="FF000000"/>
        <rFont val="맑은 고딕"/>
        <family val="3"/>
        <charset val="129"/>
      </rPr>
      <t>전환사채</t>
    </r>
  </si>
  <si>
    <r>
      <rPr>
        <sz val="9"/>
        <color rgb="FF000000"/>
        <rFont val="맑은 고딕"/>
        <family val="3"/>
        <charset val="129"/>
      </rPr>
      <t>파생상품부채</t>
    </r>
  </si>
  <si>
    <r>
      <rPr>
        <sz val="9"/>
        <color rgb="FF000000"/>
        <rFont val="맑은 고딕"/>
        <family val="3"/>
        <charset val="129"/>
      </rPr>
      <t>비유동부채</t>
    </r>
  </si>
  <si>
    <r>
      <rPr>
        <sz val="9"/>
        <color rgb="FF000000"/>
        <rFont val="맑은 고딕"/>
        <family val="3"/>
        <charset val="129"/>
      </rPr>
      <t>장기차입금</t>
    </r>
  </si>
  <si>
    <r>
      <rPr>
        <sz val="9"/>
        <color rgb="FF000000"/>
        <rFont val="맑은 고딕"/>
        <family val="3"/>
        <charset val="129"/>
      </rPr>
      <t>기타비유동부채</t>
    </r>
  </si>
  <si>
    <r>
      <rPr>
        <sz val="9"/>
        <color rgb="FF000000"/>
        <rFont val="맑은 고딕"/>
        <family val="3"/>
        <charset val="129"/>
      </rPr>
      <t>장기기타금융부채</t>
    </r>
  </si>
  <si>
    <r>
      <rPr>
        <sz val="9"/>
        <color rgb="FF000000"/>
        <rFont val="맑은 고딕"/>
        <family val="3"/>
        <charset val="129"/>
      </rPr>
      <t>리스부채</t>
    </r>
    <r>
      <rPr>
        <sz val="9"/>
        <color rgb="FF000000"/>
        <rFont val="Arial"/>
        <family val="2"/>
      </rPr>
      <t>(</t>
    </r>
    <r>
      <rPr>
        <sz val="9"/>
        <color rgb="FF000000"/>
        <rFont val="맑은 고딕"/>
        <family val="3"/>
        <charset val="129"/>
      </rPr>
      <t>비유동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</si>
  <si>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맑은 고딕"/>
        <family val="3"/>
        <charset val="129"/>
      </rPr>
      <t>순확정급여채무</t>
    </r>
  </si>
  <si>
    <r>
      <rPr>
        <sz val="9"/>
        <color rgb="FF000000"/>
        <rFont val="맑은 고딕"/>
        <family val="3"/>
        <charset val="129"/>
      </rPr>
      <t>이연법인세부채</t>
    </r>
  </si>
  <si>
    <r>
      <rPr>
        <sz val="9"/>
        <color rgb="FF000000"/>
        <rFont val="맑은 고딕"/>
        <family val="3"/>
        <charset val="129"/>
      </rPr>
      <t>비유동파생상품부채</t>
    </r>
  </si>
  <si>
    <t>자본</t>
    <phoneticPr fontId="2" type="noConversion"/>
  </si>
  <si>
    <r>
      <rPr>
        <sz val="9"/>
        <color rgb="FF000000"/>
        <rFont val="맑은 고딕"/>
        <family val="3"/>
        <charset val="129"/>
      </rPr>
      <t>자본금</t>
    </r>
  </si>
  <si>
    <r>
      <rPr>
        <sz val="9"/>
        <color rgb="FF000000"/>
        <rFont val="맑은 고딕"/>
        <family val="3"/>
        <charset val="129"/>
      </rPr>
      <t>기타불입자본</t>
    </r>
  </si>
  <si>
    <r>
      <rPr>
        <sz val="9"/>
        <color rgb="FF000000"/>
        <rFont val="맑은 고딕"/>
        <family val="3"/>
        <charset val="129"/>
      </rPr>
      <t>자본조정</t>
    </r>
  </si>
  <si>
    <r>
      <rPr>
        <sz val="9"/>
        <color rgb="FF000000"/>
        <rFont val="맑은 고딕"/>
        <family val="3"/>
        <charset val="129"/>
      </rPr>
      <t>이익잉여금</t>
    </r>
  </si>
  <si>
    <r>
      <t>Dart_</t>
    </r>
    <r>
      <rPr>
        <b/>
        <sz val="11"/>
        <color theme="7"/>
        <rFont val="맑은 고딕"/>
        <family val="3"/>
        <charset val="129"/>
      </rPr>
      <t>시장리서치</t>
    </r>
    <phoneticPr fontId="2" type="noConversion"/>
  </si>
  <si>
    <r>
      <rPr>
        <b/>
        <sz val="9"/>
        <color theme="0"/>
        <rFont val="맑은 고딕"/>
        <family val="3"/>
        <charset val="129"/>
      </rPr>
      <t>연도별</t>
    </r>
    <r>
      <rPr>
        <b/>
        <sz val="9"/>
        <color theme="0"/>
        <rFont val="Arial"/>
        <family val="2"/>
      </rPr>
      <t xml:space="preserve"> </t>
    </r>
    <r>
      <rPr>
        <b/>
        <sz val="9"/>
        <color theme="0"/>
        <rFont val="맑은 고딕"/>
        <family val="3"/>
        <charset val="129"/>
      </rPr>
      <t>중고차</t>
    </r>
    <r>
      <rPr>
        <b/>
        <sz val="9"/>
        <color theme="0"/>
        <rFont val="Arial"/>
        <family val="2"/>
      </rPr>
      <t xml:space="preserve"> </t>
    </r>
    <r>
      <rPr>
        <b/>
        <sz val="9"/>
        <color theme="0"/>
        <rFont val="맑은 고딕"/>
        <family val="3"/>
        <charset val="129"/>
      </rPr>
      <t>매매업체수</t>
    </r>
    <phoneticPr fontId="2" type="noConversion"/>
  </si>
  <si>
    <r>
      <t>(</t>
    </r>
    <r>
      <rPr>
        <sz val="9"/>
        <color rgb="FF000000"/>
        <rFont val="맑은 고딕"/>
        <family val="3"/>
        <charset val="129"/>
      </rPr>
      <t>단위</t>
    </r>
    <r>
      <rPr>
        <sz val="9"/>
        <color rgb="FF000000"/>
        <rFont val="Arial"/>
        <family val="2"/>
      </rPr>
      <t xml:space="preserve">: </t>
    </r>
    <r>
      <rPr>
        <sz val="9"/>
        <color rgb="FF000000"/>
        <rFont val="맑은 고딕"/>
        <family val="3"/>
        <charset val="129"/>
      </rPr>
      <t>개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맑은 고딕"/>
        <family val="3"/>
        <charset val="129"/>
      </rPr>
      <t>명</t>
    </r>
    <r>
      <rPr>
        <sz val="9"/>
        <color rgb="FF000000"/>
        <rFont val="Arial"/>
        <family val="2"/>
      </rPr>
      <t>)</t>
    </r>
  </si>
  <si>
    <r>
      <rPr>
        <b/>
        <sz val="9"/>
        <color rgb="FF000000"/>
        <rFont val="맑은 고딕"/>
        <family val="3"/>
        <charset val="129"/>
      </rPr>
      <t>구분</t>
    </r>
  </si>
  <si>
    <t>CAGR</t>
  </si>
  <si>
    <r>
      <rPr>
        <sz val="9"/>
        <color rgb="FF000000"/>
        <rFont val="맑은 고딕"/>
        <family val="3"/>
        <charset val="129"/>
      </rPr>
      <t>중고차거래대수</t>
    </r>
    <r>
      <rPr>
        <sz val="9"/>
        <color rgb="FF000000"/>
        <rFont val="Arial"/>
        <family val="2"/>
      </rPr>
      <t>(</t>
    </r>
    <r>
      <rPr>
        <sz val="9"/>
        <color rgb="FF000000"/>
        <rFont val="맑은 고딕"/>
        <family val="3"/>
        <charset val="129"/>
      </rPr>
      <t>천대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</si>
  <si>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맑은 고딕"/>
        <family val="3"/>
        <charset val="129"/>
      </rPr>
      <t>매매업체수</t>
    </r>
    <r>
      <rPr>
        <sz val="9"/>
        <color rgb="FF000000"/>
        <rFont val="Arial"/>
        <family val="2"/>
      </rPr>
      <t>(</t>
    </r>
    <r>
      <rPr>
        <sz val="9"/>
        <color rgb="FF000000"/>
        <rFont val="맑은 고딕"/>
        <family val="3"/>
        <charset val="129"/>
      </rPr>
      <t>개</t>
    </r>
    <r>
      <rPr>
        <sz val="9"/>
        <color rgb="FF000000"/>
        <rFont val="Arial"/>
        <family val="2"/>
      </rPr>
      <t>)</t>
    </r>
  </si>
  <si>
    <r>
      <rPr>
        <b/>
        <sz val="9"/>
        <color theme="0"/>
        <rFont val="맑은 고딕"/>
        <family val="3"/>
        <charset val="129"/>
      </rPr>
      <t>국내</t>
    </r>
    <r>
      <rPr>
        <b/>
        <sz val="9"/>
        <color theme="0"/>
        <rFont val="Arial"/>
        <family val="2"/>
      </rPr>
      <t xml:space="preserve"> </t>
    </r>
    <r>
      <rPr>
        <b/>
        <sz val="9"/>
        <color theme="0"/>
        <rFont val="맑은 고딕"/>
        <family val="3"/>
        <charset val="129"/>
      </rPr>
      <t>채널별</t>
    </r>
    <r>
      <rPr>
        <b/>
        <sz val="9"/>
        <color theme="0"/>
        <rFont val="Arial"/>
        <family val="2"/>
      </rPr>
      <t xml:space="preserve"> </t>
    </r>
    <r>
      <rPr>
        <b/>
        <sz val="9"/>
        <color theme="0"/>
        <rFont val="맑은 고딕"/>
        <family val="3"/>
        <charset val="129"/>
      </rPr>
      <t>국내</t>
    </r>
    <r>
      <rPr>
        <b/>
        <sz val="9"/>
        <color theme="0"/>
        <rFont val="Arial"/>
        <family val="2"/>
      </rPr>
      <t xml:space="preserve"> </t>
    </r>
    <r>
      <rPr>
        <b/>
        <sz val="9"/>
        <color theme="0"/>
        <rFont val="맑은 고딕"/>
        <family val="3"/>
        <charset val="129"/>
      </rPr>
      <t>중고차</t>
    </r>
    <r>
      <rPr>
        <b/>
        <sz val="9"/>
        <color theme="0"/>
        <rFont val="Arial"/>
        <family val="2"/>
      </rPr>
      <t xml:space="preserve"> </t>
    </r>
    <r>
      <rPr>
        <b/>
        <sz val="9"/>
        <color theme="0"/>
        <rFont val="맑은 고딕"/>
        <family val="3"/>
        <charset val="129"/>
      </rPr>
      <t>거래</t>
    </r>
    <r>
      <rPr>
        <b/>
        <sz val="9"/>
        <color theme="0"/>
        <rFont val="Arial"/>
        <family val="2"/>
      </rPr>
      <t xml:space="preserve"> </t>
    </r>
    <r>
      <rPr>
        <b/>
        <sz val="9"/>
        <color theme="0"/>
        <rFont val="맑은 고딕"/>
        <family val="3"/>
        <charset val="129"/>
      </rPr>
      <t>규모</t>
    </r>
    <r>
      <rPr>
        <b/>
        <sz val="9"/>
        <color theme="0"/>
        <rFont val="Arial"/>
        <family val="2"/>
      </rPr>
      <t xml:space="preserve"> </t>
    </r>
    <r>
      <rPr>
        <b/>
        <sz val="9"/>
        <color theme="0"/>
        <rFont val="맑은 고딕"/>
        <family val="3"/>
        <charset val="129"/>
      </rPr>
      <t>현황</t>
    </r>
    <r>
      <rPr>
        <b/>
        <sz val="9"/>
        <color theme="0"/>
        <rFont val="Arial"/>
        <family val="2"/>
      </rPr>
      <t xml:space="preserve"> </t>
    </r>
    <r>
      <rPr>
        <b/>
        <sz val="9"/>
        <color theme="0"/>
        <rFont val="맑은 고딕"/>
        <family val="3"/>
        <charset val="129"/>
      </rPr>
      <t>및</t>
    </r>
    <r>
      <rPr>
        <b/>
        <sz val="9"/>
        <color theme="0"/>
        <rFont val="Arial"/>
        <family val="2"/>
      </rPr>
      <t xml:space="preserve"> </t>
    </r>
    <r>
      <rPr>
        <b/>
        <sz val="9"/>
        <color theme="0"/>
        <rFont val="맑은 고딕"/>
        <family val="3"/>
        <charset val="129"/>
      </rPr>
      <t>전망</t>
    </r>
    <phoneticPr fontId="2" type="noConversion"/>
  </si>
  <si>
    <r>
      <t>(</t>
    </r>
    <r>
      <rPr>
        <sz val="9"/>
        <color rgb="FF000000"/>
        <rFont val="맑은 고딕"/>
        <family val="3"/>
        <charset val="129"/>
      </rPr>
      <t>단위</t>
    </r>
    <r>
      <rPr>
        <sz val="9"/>
        <color rgb="FF000000"/>
        <rFont val="Arial"/>
        <family val="2"/>
      </rPr>
      <t xml:space="preserve"> : </t>
    </r>
    <r>
      <rPr>
        <sz val="9"/>
        <color rgb="FF000000"/>
        <rFont val="맑은 고딕"/>
        <family val="3"/>
        <charset val="129"/>
      </rPr>
      <t>천대</t>
    </r>
    <r>
      <rPr>
        <sz val="9"/>
        <color rgb="FF000000"/>
        <rFont val="Arial"/>
        <family val="2"/>
      </rPr>
      <t>)</t>
    </r>
  </si>
  <si>
    <r>
      <rPr>
        <b/>
        <sz val="9"/>
        <color rgb="FF000000"/>
        <rFont val="맑은 고딕"/>
        <family val="3"/>
        <charset val="129"/>
      </rPr>
      <t>구매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맑은 고딕"/>
        <family val="3"/>
        <charset val="129"/>
      </rPr>
      <t>방식</t>
    </r>
  </si>
  <si>
    <t>2020E</t>
  </si>
  <si>
    <t>2021F</t>
  </si>
  <si>
    <t>2022F</t>
  </si>
  <si>
    <t>2023F</t>
  </si>
  <si>
    <t>2024F</t>
  </si>
  <si>
    <t>2025F</t>
  </si>
  <si>
    <t>Total Used Car Market</t>
  </si>
  <si>
    <t>Online Market Size</t>
  </si>
  <si>
    <t>   % of Online Market</t>
  </si>
  <si>
    <t>Offline Market Size</t>
  </si>
  <si>
    <t>   % of Offline Market</t>
  </si>
  <si>
    <r>
      <rPr>
        <b/>
        <sz val="9"/>
        <color theme="0"/>
        <rFont val="맑은 고딕"/>
        <family val="3"/>
        <charset val="129"/>
      </rPr>
      <t>국토교통부</t>
    </r>
    <r>
      <rPr>
        <b/>
        <sz val="9"/>
        <color theme="0"/>
        <rFont val="Arial"/>
        <family val="2"/>
      </rPr>
      <t xml:space="preserve"> </t>
    </r>
    <r>
      <rPr>
        <b/>
        <sz val="9"/>
        <color theme="0"/>
        <rFont val="맑은 고딕"/>
        <family val="3"/>
        <charset val="129"/>
      </rPr>
      <t>자동차등록통계</t>
    </r>
    <r>
      <rPr>
        <b/>
        <sz val="9"/>
        <color theme="0"/>
        <rFont val="Arial"/>
        <family val="2"/>
      </rPr>
      <t xml:space="preserve"> </t>
    </r>
    <r>
      <rPr>
        <b/>
        <sz val="9"/>
        <color theme="0"/>
        <rFont val="맑은 고딕"/>
        <family val="3"/>
        <charset val="129"/>
      </rPr>
      <t>중</t>
    </r>
    <r>
      <rPr>
        <b/>
        <sz val="9"/>
        <color theme="0"/>
        <rFont val="Arial"/>
        <family val="2"/>
      </rPr>
      <t xml:space="preserve"> </t>
    </r>
    <r>
      <rPr>
        <b/>
        <sz val="9"/>
        <color theme="0"/>
        <rFont val="맑은 고딕"/>
        <family val="3"/>
        <charset val="129"/>
      </rPr>
      <t>이전등록현황</t>
    </r>
    <phoneticPr fontId="2" type="noConversion"/>
  </si>
  <si>
    <r>
      <t>(</t>
    </r>
    <r>
      <rPr>
        <sz val="9"/>
        <color rgb="FF000000"/>
        <rFont val="맑은 고딕"/>
        <family val="3"/>
        <charset val="129"/>
      </rPr>
      <t>단위</t>
    </r>
    <r>
      <rPr>
        <sz val="9"/>
        <color rgb="FF000000"/>
        <rFont val="Arial"/>
        <family val="2"/>
      </rPr>
      <t xml:space="preserve"> : </t>
    </r>
    <r>
      <rPr>
        <sz val="9"/>
        <color rgb="FF000000"/>
        <rFont val="맑은 고딕"/>
        <family val="3"/>
        <charset val="129"/>
      </rPr>
      <t>대</t>
    </r>
    <r>
      <rPr>
        <sz val="9"/>
        <color rgb="FF000000"/>
        <rFont val="Arial"/>
        <family val="2"/>
      </rPr>
      <t>)</t>
    </r>
  </si>
  <si>
    <r>
      <rPr>
        <b/>
        <sz val="9"/>
        <color rgb="FF000000"/>
        <rFont val="맑은 고딕"/>
        <family val="3"/>
        <charset val="129"/>
      </rPr>
      <t>합계</t>
    </r>
  </si>
  <si>
    <r>
      <rPr>
        <sz val="9"/>
        <color rgb="FF000000"/>
        <rFont val="맑은 고딕"/>
        <family val="3"/>
        <charset val="129"/>
      </rPr>
      <t>업자매매</t>
    </r>
  </si>
  <si>
    <r>
      <rPr>
        <sz val="9"/>
        <color rgb="FF000000"/>
        <rFont val="맑은 고딕"/>
        <family val="3"/>
        <charset val="129"/>
      </rPr>
      <t>당사자매매</t>
    </r>
  </si>
  <si>
    <r>
      <rPr>
        <sz val="9"/>
        <color rgb="FF000000"/>
        <rFont val="맑은 고딕"/>
        <family val="3"/>
        <charset val="129"/>
      </rPr>
      <t>증여</t>
    </r>
  </si>
  <si>
    <r>
      <rPr>
        <sz val="9"/>
        <color rgb="FF000000"/>
        <rFont val="맑은 고딕"/>
        <family val="3"/>
        <charset val="129"/>
      </rPr>
      <t>상속</t>
    </r>
  </si>
  <si>
    <r>
      <rPr>
        <sz val="9"/>
        <color rgb="FF000000"/>
        <rFont val="맑은 고딕"/>
        <family val="3"/>
        <charset val="129"/>
      </rPr>
      <t>촉탁</t>
    </r>
  </si>
  <si>
    <r>
      <rPr>
        <b/>
        <sz val="9"/>
        <color theme="0"/>
        <rFont val="맑은 고딕"/>
        <family val="3"/>
        <charset val="129"/>
      </rPr>
      <t>국내</t>
    </r>
    <r>
      <rPr>
        <b/>
        <sz val="9"/>
        <color theme="0"/>
        <rFont val="Arial"/>
        <family val="2"/>
      </rPr>
      <t xml:space="preserve"> </t>
    </r>
    <r>
      <rPr>
        <b/>
        <sz val="9"/>
        <color theme="0"/>
        <rFont val="맑은 고딕"/>
        <family val="3"/>
        <charset val="129"/>
      </rPr>
      <t>중고차</t>
    </r>
    <r>
      <rPr>
        <b/>
        <sz val="9"/>
        <color theme="0"/>
        <rFont val="Arial"/>
        <family val="2"/>
      </rPr>
      <t xml:space="preserve"> </t>
    </r>
    <r>
      <rPr>
        <b/>
        <sz val="9"/>
        <color theme="0"/>
        <rFont val="맑은 고딕"/>
        <family val="3"/>
        <charset val="129"/>
      </rPr>
      <t>시장</t>
    </r>
    <r>
      <rPr>
        <b/>
        <sz val="9"/>
        <color theme="0"/>
        <rFont val="Arial"/>
        <family val="2"/>
      </rPr>
      <t xml:space="preserve"> </t>
    </r>
    <r>
      <rPr>
        <b/>
        <sz val="9"/>
        <color theme="0"/>
        <rFont val="맑은 고딕"/>
        <family val="3"/>
        <charset val="129"/>
      </rPr>
      <t>연도별</t>
    </r>
    <r>
      <rPr>
        <b/>
        <sz val="9"/>
        <color theme="0"/>
        <rFont val="Arial"/>
        <family val="2"/>
      </rPr>
      <t xml:space="preserve"> </t>
    </r>
    <r>
      <rPr>
        <b/>
        <sz val="9"/>
        <color theme="0"/>
        <rFont val="맑은 고딕"/>
        <family val="3"/>
        <charset val="129"/>
      </rPr>
      <t>거래대수</t>
    </r>
    <r>
      <rPr>
        <b/>
        <sz val="9"/>
        <color theme="0"/>
        <rFont val="Arial"/>
        <family val="2"/>
      </rPr>
      <t xml:space="preserve"> </t>
    </r>
    <r>
      <rPr>
        <b/>
        <sz val="9"/>
        <color theme="0"/>
        <rFont val="맑은 고딕"/>
        <family val="3"/>
        <charset val="129"/>
      </rPr>
      <t>현황</t>
    </r>
    <r>
      <rPr>
        <b/>
        <sz val="9"/>
        <color theme="0"/>
        <rFont val="Arial"/>
        <family val="2"/>
      </rPr>
      <t xml:space="preserve"> </t>
    </r>
    <r>
      <rPr>
        <b/>
        <sz val="9"/>
        <color theme="0"/>
        <rFont val="맑은 고딕"/>
        <family val="3"/>
        <charset val="129"/>
      </rPr>
      <t>및</t>
    </r>
    <r>
      <rPr>
        <b/>
        <sz val="9"/>
        <color theme="0"/>
        <rFont val="Arial"/>
        <family val="2"/>
      </rPr>
      <t xml:space="preserve"> </t>
    </r>
    <r>
      <rPr>
        <b/>
        <sz val="9"/>
        <color theme="0"/>
        <rFont val="맑은 고딕"/>
        <family val="3"/>
        <charset val="129"/>
      </rPr>
      <t>전망</t>
    </r>
    <phoneticPr fontId="2" type="noConversion"/>
  </si>
  <si>
    <r>
      <t>(</t>
    </r>
    <r>
      <rPr>
        <sz val="9"/>
        <color rgb="FF000000"/>
        <rFont val="맑은 고딕"/>
        <family val="3"/>
        <charset val="129"/>
      </rPr>
      <t>단위</t>
    </r>
    <r>
      <rPr>
        <sz val="9"/>
        <color rgb="FF000000"/>
        <rFont val="Arial"/>
        <family val="2"/>
      </rPr>
      <t xml:space="preserve"> : </t>
    </r>
    <r>
      <rPr>
        <sz val="9"/>
        <color rgb="FF000000"/>
        <rFont val="맑은 고딕"/>
        <family val="3"/>
        <charset val="129"/>
      </rPr>
      <t>천대</t>
    </r>
    <r>
      <rPr>
        <sz val="9"/>
        <color rgb="FF000000"/>
        <rFont val="Arial"/>
        <family val="2"/>
      </rPr>
      <t>)</t>
    </r>
    <phoneticPr fontId="2" type="noConversion"/>
  </si>
  <si>
    <r>
      <rPr>
        <b/>
        <sz val="9"/>
        <color rgb="FF000000"/>
        <rFont val="맑은 고딕"/>
        <family val="3"/>
        <charset val="129"/>
      </rPr>
      <t>중고차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맑은 고딕"/>
        <family val="3"/>
        <charset val="129"/>
      </rPr>
      <t>시장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맑은 고딕"/>
        <family val="3"/>
        <charset val="129"/>
      </rPr>
      <t>합계</t>
    </r>
  </si>
  <si>
    <r>
      <rPr>
        <sz val="9"/>
        <color rgb="FF000000"/>
        <rFont val="맑은 고딕"/>
        <family val="3"/>
        <charset val="129"/>
      </rPr>
      <t>매매업자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거래</t>
    </r>
    <r>
      <rPr>
        <sz val="9"/>
        <color rgb="FF000000"/>
        <rFont val="Arial"/>
        <family val="2"/>
      </rPr>
      <t xml:space="preserve"> (B2C)</t>
    </r>
  </si>
  <si>
    <r>
      <rPr>
        <sz val="9"/>
        <color rgb="FF000000"/>
        <rFont val="맑은 고딕"/>
        <family val="3"/>
        <charset val="129"/>
      </rPr>
      <t>개인간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거래</t>
    </r>
    <r>
      <rPr>
        <sz val="9"/>
        <color rgb="FF000000"/>
        <rFont val="Arial"/>
        <family val="2"/>
      </rPr>
      <t xml:space="preserve"> (C2C)</t>
    </r>
  </si>
  <si>
    <r>
      <rPr>
        <sz val="9"/>
        <color rgb="FF000000"/>
        <rFont val="맑은 고딕"/>
        <family val="3"/>
        <charset val="129"/>
      </rPr>
      <t>매매업자간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거래</t>
    </r>
    <r>
      <rPr>
        <sz val="9"/>
        <color rgb="FF000000"/>
        <rFont val="Arial"/>
        <family val="2"/>
      </rPr>
      <t xml:space="preserve"> (B2B)</t>
    </r>
  </si>
  <si>
    <r>
      <rPr>
        <b/>
        <sz val="9"/>
        <color theme="0"/>
        <rFont val="맑은 고딕"/>
        <family val="3"/>
        <charset val="129"/>
      </rPr>
      <t>케이카</t>
    </r>
    <r>
      <rPr>
        <b/>
        <sz val="9"/>
        <color theme="0"/>
        <rFont val="Arial"/>
        <family val="2"/>
      </rPr>
      <t xml:space="preserve"> </t>
    </r>
    <r>
      <rPr>
        <b/>
        <sz val="9"/>
        <color theme="0"/>
        <rFont val="맑은 고딕"/>
        <family val="3"/>
        <charset val="129"/>
      </rPr>
      <t>점유율</t>
    </r>
    <r>
      <rPr>
        <b/>
        <sz val="9"/>
        <color theme="0"/>
        <rFont val="Arial"/>
        <family val="2"/>
      </rPr>
      <t xml:space="preserve"> </t>
    </r>
    <r>
      <rPr>
        <b/>
        <sz val="9"/>
        <color theme="0"/>
        <rFont val="맑은 고딕"/>
        <family val="3"/>
        <charset val="129"/>
      </rPr>
      <t>산출</t>
    </r>
    <r>
      <rPr>
        <b/>
        <sz val="9"/>
        <color theme="0"/>
        <rFont val="Arial"/>
        <family val="2"/>
      </rPr>
      <t>(</t>
    </r>
    <r>
      <rPr>
        <b/>
        <sz val="9"/>
        <color theme="0"/>
        <rFont val="맑은 고딕"/>
        <family val="3"/>
        <charset val="129"/>
      </rPr>
      <t>판매대수</t>
    </r>
    <r>
      <rPr>
        <b/>
        <sz val="9"/>
        <color theme="0"/>
        <rFont val="Arial"/>
        <family val="2"/>
      </rPr>
      <t xml:space="preserve"> </t>
    </r>
    <r>
      <rPr>
        <b/>
        <sz val="9"/>
        <color theme="0"/>
        <rFont val="맑은 고딕"/>
        <family val="3"/>
        <charset val="129"/>
      </rPr>
      <t>기준</t>
    </r>
    <r>
      <rPr>
        <b/>
        <sz val="9"/>
        <color theme="0"/>
        <rFont val="Arial"/>
        <family val="2"/>
      </rPr>
      <t>)</t>
    </r>
    <phoneticPr fontId="2" type="noConversion"/>
  </si>
  <si>
    <r>
      <t>(</t>
    </r>
    <r>
      <rPr>
        <sz val="9"/>
        <color rgb="FF000000"/>
        <rFont val="맑은 고딕"/>
        <family val="3"/>
        <charset val="129"/>
      </rPr>
      <t>단위</t>
    </r>
    <r>
      <rPr>
        <sz val="9"/>
        <color rgb="FF000000"/>
        <rFont val="Arial"/>
        <family val="2"/>
      </rPr>
      <t xml:space="preserve"> : </t>
    </r>
    <r>
      <rPr>
        <sz val="9"/>
        <color rgb="FF000000"/>
        <rFont val="맑은 고딕"/>
        <family val="3"/>
        <charset val="129"/>
      </rPr>
      <t>대</t>
    </r>
    <r>
      <rPr>
        <sz val="9"/>
        <color rgb="FF000000"/>
        <rFont val="Arial"/>
        <family val="2"/>
      </rPr>
      <t>)</t>
    </r>
    <phoneticPr fontId="2" type="noConversion"/>
  </si>
  <si>
    <r>
      <rPr>
        <sz val="9"/>
        <color theme="1"/>
        <rFont val="맑은 고딕"/>
        <family val="3"/>
        <charset val="129"/>
      </rPr>
      <t>온라인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판매대수</t>
    </r>
    <phoneticPr fontId="2" type="noConversion"/>
  </si>
  <si>
    <t>온라인 시장성장률</t>
    <phoneticPr fontId="2" type="noConversion"/>
  </si>
  <si>
    <r>
      <rPr>
        <sz val="9"/>
        <color theme="1"/>
        <rFont val="맑은 고딕"/>
        <family val="3"/>
        <charset val="129"/>
      </rPr>
      <t>이커머스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판매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점유율</t>
    </r>
    <phoneticPr fontId="2" type="noConversion"/>
  </si>
  <si>
    <r>
      <rPr>
        <sz val="9"/>
        <color theme="1"/>
        <rFont val="맑은 고딕"/>
        <family val="3"/>
        <charset val="129"/>
      </rPr>
      <t>오프라인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판매대수</t>
    </r>
    <phoneticPr fontId="2" type="noConversion"/>
  </si>
  <si>
    <t>오프라인 시장성장률</t>
    <phoneticPr fontId="2" type="noConversion"/>
  </si>
  <si>
    <r>
      <rPr>
        <sz val="9"/>
        <color theme="1"/>
        <rFont val="맑은 고딕"/>
        <family val="3"/>
        <charset val="129"/>
      </rPr>
      <t>케이카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오프라인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판매대수</t>
    </r>
    <phoneticPr fontId="2" type="noConversion"/>
  </si>
  <si>
    <r>
      <rPr>
        <sz val="9"/>
        <color theme="1"/>
        <rFont val="맑은 고딕"/>
        <family val="3"/>
        <charset val="129"/>
      </rPr>
      <t>오프라인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판매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점유율</t>
    </r>
    <phoneticPr fontId="2" type="noConversion"/>
  </si>
  <si>
    <r>
      <rPr>
        <b/>
        <sz val="9"/>
        <color theme="0"/>
        <rFont val="맑은 고딕"/>
        <family val="3"/>
        <charset val="129"/>
      </rPr>
      <t>재무상태표</t>
    </r>
    <phoneticPr fontId="2" type="noConversion"/>
  </si>
  <si>
    <r>
      <t>(</t>
    </r>
    <r>
      <rPr>
        <sz val="9"/>
        <color rgb="FF000000"/>
        <rFont val="맑은 고딕"/>
        <family val="3"/>
        <charset val="129"/>
      </rPr>
      <t>단위</t>
    </r>
    <r>
      <rPr>
        <sz val="9"/>
        <color rgb="FF000000"/>
        <rFont val="Arial"/>
        <family val="2"/>
      </rPr>
      <t xml:space="preserve"> : </t>
    </r>
    <r>
      <rPr>
        <sz val="9"/>
        <color rgb="FF000000"/>
        <rFont val="맑은 고딕"/>
        <family val="3"/>
        <charset val="129"/>
      </rPr>
      <t>원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</si>
  <si>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맑은 고딕"/>
        <family val="3"/>
        <charset val="129"/>
      </rPr>
      <t>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목</t>
    </r>
    <phoneticPr fontId="2" type="noConversion"/>
  </si>
  <si>
    <r>
      <t>2018</t>
    </r>
    <r>
      <rPr>
        <sz val="9"/>
        <color rgb="FF000000"/>
        <rFont val="맑은 고딕"/>
        <family val="3"/>
        <charset val="129"/>
      </rPr>
      <t>년</t>
    </r>
  </si>
  <si>
    <r>
      <t>2019</t>
    </r>
    <r>
      <rPr>
        <sz val="9"/>
        <color rgb="FF000000"/>
        <rFont val="맑은 고딕"/>
        <family val="3"/>
        <charset val="129"/>
      </rPr>
      <t>년</t>
    </r>
  </si>
  <si>
    <r>
      <t>2020</t>
    </r>
    <r>
      <rPr>
        <sz val="9"/>
        <color rgb="FF000000"/>
        <rFont val="맑은 고딕"/>
        <family val="3"/>
        <charset val="129"/>
      </rPr>
      <t>년</t>
    </r>
  </si>
  <si>
    <r>
      <t>2021</t>
    </r>
    <r>
      <rPr>
        <sz val="9"/>
        <color rgb="FF000000"/>
        <rFont val="맑은 고딕"/>
        <family val="3"/>
        <charset val="129"/>
      </rPr>
      <t>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반기</t>
    </r>
  </si>
  <si>
    <r>
      <rPr>
        <sz val="9"/>
        <color rgb="FF000000"/>
        <rFont val="맑은 고딕"/>
        <family val="3"/>
        <charset val="129"/>
      </rPr>
      <t>자</t>
    </r>
    <r>
      <rPr>
        <sz val="9"/>
        <color rgb="FF000000"/>
        <rFont val="Arial"/>
        <family val="2"/>
      </rPr>
      <t xml:space="preserve">                  </t>
    </r>
    <r>
      <rPr>
        <sz val="9"/>
        <color rgb="FF000000"/>
        <rFont val="맑은 고딕"/>
        <family val="3"/>
        <charset val="129"/>
      </rPr>
      <t>산</t>
    </r>
  </si>
  <si>
    <r>
      <rPr>
        <sz val="9"/>
        <color rgb="FF000000"/>
        <rFont val="맑은 고딕"/>
        <family val="3"/>
        <charset val="129"/>
      </rPr>
      <t>Ⅰ</t>
    </r>
    <r>
      <rPr>
        <sz val="9"/>
        <color rgb="FF000000"/>
        <rFont val="Arial"/>
        <family val="2"/>
      </rPr>
      <t xml:space="preserve">. </t>
    </r>
    <r>
      <rPr>
        <sz val="9"/>
        <color rgb="FF000000"/>
        <rFont val="맑은 고딕"/>
        <family val="3"/>
        <charset val="129"/>
      </rPr>
      <t>유동자산</t>
    </r>
  </si>
  <si>
    <t>-</t>
  </si>
  <si>
    <r>
      <rPr>
        <sz val="9"/>
        <color rgb="FF000000"/>
        <rFont val="맑은 고딕"/>
        <family val="3"/>
        <charset val="129"/>
      </rPr>
      <t>Ⅱ</t>
    </r>
    <r>
      <rPr>
        <sz val="9"/>
        <color rgb="FF000000"/>
        <rFont val="Arial"/>
        <family val="2"/>
      </rPr>
      <t xml:space="preserve">. </t>
    </r>
    <r>
      <rPr>
        <sz val="9"/>
        <color rgb="FF000000"/>
        <rFont val="맑은 고딕"/>
        <family val="3"/>
        <charset val="129"/>
      </rPr>
      <t>비유동자산</t>
    </r>
  </si>
  <si>
    <r>
      <rPr>
        <b/>
        <sz val="9"/>
        <color rgb="FF000000"/>
        <rFont val="맑은 고딕"/>
        <family val="3"/>
        <charset val="129"/>
      </rPr>
      <t>유형자산</t>
    </r>
  </si>
  <si>
    <r>
      <rPr>
        <b/>
        <sz val="9"/>
        <color rgb="FF000000"/>
        <rFont val="맑은 고딕"/>
        <family val="3"/>
        <charset val="129"/>
      </rPr>
      <t>무형자산</t>
    </r>
  </si>
  <si>
    <r>
      <rPr>
        <sz val="9"/>
        <color rgb="FF000000"/>
        <rFont val="맑은 고딕"/>
        <family val="3"/>
        <charset val="129"/>
      </rPr>
      <t>자</t>
    </r>
    <r>
      <rPr>
        <sz val="9"/>
        <color rgb="FF000000"/>
        <rFont val="Arial"/>
        <family val="2"/>
      </rPr>
      <t xml:space="preserve">    </t>
    </r>
    <r>
      <rPr>
        <sz val="9"/>
        <color rgb="FF000000"/>
        <rFont val="맑은 고딕"/>
        <family val="3"/>
        <charset val="129"/>
      </rPr>
      <t>산</t>
    </r>
    <r>
      <rPr>
        <sz val="9"/>
        <color rgb="FF000000"/>
        <rFont val="Arial"/>
        <family val="2"/>
      </rPr>
      <t xml:space="preserve">     </t>
    </r>
    <r>
      <rPr>
        <sz val="9"/>
        <color rgb="FF000000"/>
        <rFont val="맑은 고딕"/>
        <family val="3"/>
        <charset val="129"/>
      </rPr>
      <t>총</t>
    </r>
    <r>
      <rPr>
        <sz val="9"/>
        <color rgb="FF000000"/>
        <rFont val="Arial"/>
        <family val="2"/>
      </rPr>
      <t xml:space="preserve">     </t>
    </r>
    <r>
      <rPr>
        <sz val="9"/>
        <color rgb="FF000000"/>
        <rFont val="맑은 고딕"/>
        <family val="3"/>
        <charset val="129"/>
      </rPr>
      <t>계</t>
    </r>
  </si>
  <si>
    <r>
      <rPr>
        <sz val="9"/>
        <color rgb="FF000000"/>
        <rFont val="맑은 고딕"/>
        <family val="3"/>
        <charset val="129"/>
      </rPr>
      <t>부</t>
    </r>
    <r>
      <rPr>
        <sz val="9"/>
        <color rgb="FF000000"/>
        <rFont val="Arial"/>
        <family val="2"/>
      </rPr>
      <t xml:space="preserve">                    </t>
    </r>
    <r>
      <rPr>
        <sz val="9"/>
        <color rgb="FF000000"/>
        <rFont val="맑은 고딕"/>
        <family val="3"/>
        <charset val="129"/>
      </rPr>
      <t>채</t>
    </r>
  </si>
  <si>
    <r>
      <rPr>
        <sz val="9"/>
        <color rgb="FF000000"/>
        <rFont val="맑은 고딕"/>
        <family val="3"/>
        <charset val="129"/>
      </rPr>
      <t>Ⅰ</t>
    </r>
    <r>
      <rPr>
        <sz val="9"/>
        <color rgb="FF000000"/>
        <rFont val="Arial"/>
        <family val="2"/>
      </rPr>
      <t xml:space="preserve">. </t>
    </r>
    <r>
      <rPr>
        <sz val="9"/>
        <color rgb="FF000000"/>
        <rFont val="맑은 고딕"/>
        <family val="3"/>
        <charset val="129"/>
      </rPr>
      <t>유동부채</t>
    </r>
  </si>
  <si>
    <r>
      <rPr>
        <sz val="9"/>
        <color rgb="FF000000"/>
        <rFont val="맑은 고딕"/>
        <family val="3"/>
        <charset val="129"/>
      </rPr>
      <t>Ⅱ</t>
    </r>
    <r>
      <rPr>
        <sz val="9"/>
        <color rgb="FF000000"/>
        <rFont val="Arial"/>
        <family val="2"/>
      </rPr>
      <t xml:space="preserve">. </t>
    </r>
    <r>
      <rPr>
        <sz val="9"/>
        <color rgb="FF000000"/>
        <rFont val="맑은 고딕"/>
        <family val="3"/>
        <charset val="129"/>
      </rPr>
      <t>비유동부채</t>
    </r>
  </si>
  <si>
    <r>
      <rPr>
        <sz val="9"/>
        <color rgb="FF000000"/>
        <rFont val="맑은 고딕"/>
        <family val="3"/>
        <charset val="129"/>
      </rPr>
      <t>부</t>
    </r>
    <r>
      <rPr>
        <sz val="9"/>
        <color rgb="FF000000"/>
        <rFont val="Arial"/>
        <family val="2"/>
      </rPr>
      <t xml:space="preserve">    </t>
    </r>
    <r>
      <rPr>
        <sz val="9"/>
        <color rgb="FF000000"/>
        <rFont val="맑은 고딕"/>
        <family val="3"/>
        <charset val="129"/>
      </rPr>
      <t>채</t>
    </r>
    <r>
      <rPr>
        <sz val="9"/>
        <color rgb="FF000000"/>
        <rFont val="Arial"/>
        <family val="2"/>
      </rPr>
      <t xml:space="preserve">     </t>
    </r>
    <r>
      <rPr>
        <sz val="9"/>
        <color rgb="FF000000"/>
        <rFont val="맑은 고딕"/>
        <family val="3"/>
        <charset val="129"/>
      </rPr>
      <t>총</t>
    </r>
    <r>
      <rPr>
        <sz val="9"/>
        <color rgb="FF000000"/>
        <rFont val="Arial"/>
        <family val="2"/>
      </rPr>
      <t xml:space="preserve">     </t>
    </r>
    <r>
      <rPr>
        <sz val="9"/>
        <color rgb="FF000000"/>
        <rFont val="맑은 고딕"/>
        <family val="3"/>
        <charset val="129"/>
      </rPr>
      <t>계</t>
    </r>
  </si>
  <si>
    <r>
      <rPr>
        <sz val="9"/>
        <color rgb="FF000000"/>
        <rFont val="맑은 고딕"/>
        <family val="3"/>
        <charset val="129"/>
      </rPr>
      <t>자</t>
    </r>
    <r>
      <rPr>
        <sz val="9"/>
        <color rgb="FF000000"/>
        <rFont val="Arial"/>
        <family val="2"/>
      </rPr>
      <t xml:space="preserve">                     </t>
    </r>
    <r>
      <rPr>
        <sz val="9"/>
        <color rgb="FF000000"/>
        <rFont val="맑은 고딕"/>
        <family val="3"/>
        <charset val="129"/>
      </rPr>
      <t>본</t>
    </r>
  </si>
  <si>
    <r>
      <rPr>
        <sz val="9"/>
        <color rgb="FF000000"/>
        <rFont val="맑은 고딕"/>
        <family val="3"/>
        <charset val="129"/>
      </rPr>
      <t>Ⅰ</t>
    </r>
    <r>
      <rPr>
        <sz val="9"/>
        <color rgb="FF000000"/>
        <rFont val="Arial"/>
        <family val="2"/>
      </rPr>
      <t xml:space="preserve">. </t>
    </r>
    <r>
      <rPr>
        <sz val="9"/>
        <color rgb="FF000000"/>
        <rFont val="맑은 고딕"/>
        <family val="3"/>
        <charset val="129"/>
      </rPr>
      <t>자본금</t>
    </r>
  </si>
  <si>
    <r>
      <rPr>
        <sz val="9"/>
        <color rgb="FF000000"/>
        <rFont val="맑은 고딕"/>
        <family val="3"/>
        <charset val="129"/>
      </rPr>
      <t>Ⅱ</t>
    </r>
    <r>
      <rPr>
        <sz val="9"/>
        <color rgb="FF000000"/>
        <rFont val="Arial"/>
        <family val="2"/>
      </rPr>
      <t xml:space="preserve">. </t>
    </r>
    <r>
      <rPr>
        <sz val="9"/>
        <color rgb="FF000000"/>
        <rFont val="맑은 고딕"/>
        <family val="3"/>
        <charset val="129"/>
      </rPr>
      <t>기타불입자본</t>
    </r>
  </si>
  <si>
    <r>
      <rPr>
        <sz val="9"/>
        <color rgb="FF000000"/>
        <rFont val="맑은 고딕"/>
        <family val="3"/>
        <charset val="129"/>
      </rPr>
      <t>Ⅲ</t>
    </r>
    <r>
      <rPr>
        <sz val="9"/>
        <color rgb="FF000000"/>
        <rFont val="Arial"/>
        <family val="2"/>
      </rPr>
      <t xml:space="preserve">. </t>
    </r>
    <r>
      <rPr>
        <sz val="9"/>
        <color rgb="FF000000"/>
        <rFont val="맑은 고딕"/>
        <family val="3"/>
        <charset val="129"/>
      </rPr>
      <t>자본조정</t>
    </r>
  </si>
  <si>
    <r>
      <rPr>
        <sz val="9"/>
        <color rgb="FF000000"/>
        <rFont val="맑은 고딕"/>
        <family val="3"/>
        <charset val="129"/>
      </rPr>
      <t>Ⅳ</t>
    </r>
    <r>
      <rPr>
        <sz val="9"/>
        <color rgb="FF000000"/>
        <rFont val="Arial"/>
        <family val="2"/>
      </rPr>
      <t xml:space="preserve">. </t>
    </r>
    <r>
      <rPr>
        <sz val="9"/>
        <color rgb="FF000000"/>
        <rFont val="맑은 고딕"/>
        <family val="3"/>
        <charset val="129"/>
      </rPr>
      <t>이익잉여금</t>
    </r>
  </si>
  <si>
    <r>
      <rPr>
        <sz val="9"/>
        <color rgb="FF000000"/>
        <rFont val="맑은 고딕"/>
        <family val="3"/>
        <charset val="129"/>
      </rPr>
      <t>자</t>
    </r>
    <r>
      <rPr>
        <sz val="9"/>
        <color rgb="FF000000"/>
        <rFont val="Arial"/>
        <family val="2"/>
      </rPr>
      <t xml:space="preserve">    </t>
    </r>
    <r>
      <rPr>
        <sz val="9"/>
        <color rgb="FF000000"/>
        <rFont val="맑은 고딕"/>
        <family val="3"/>
        <charset val="129"/>
      </rPr>
      <t>본</t>
    </r>
    <r>
      <rPr>
        <sz val="9"/>
        <color rgb="FF000000"/>
        <rFont val="Arial"/>
        <family val="2"/>
      </rPr>
      <t xml:space="preserve">     </t>
    </r>
    <r>
      <rPr>
        <sz val="9"/>
        <color rgb="FF000000"/>
        <rFont val="맑은 고딕"/>
        <family val="3"/>
        <charset val="129"/>
      </rPr>
      <t>총</t>
    </r>
    <r>
      <rPr>
        <sz val="9"/>
        <color rgb="FF000000"/>
        <rFont val="Arial"/>
        <family val="2"/>
      </rPr>
      <t xml:space="preserve">     </t>
    </r>
    <r>
      <rPr>
        <sz val="9"/>
        <color rgb="FF000000"/>
        <rFont val="맑은 고딕"/>
        <family val="3"/>
        <charset val="129"/>
      </rPr>
      <t>계</t>
    </r>
  </si>
  <si>
    <r>
      <rPr>
        <sz val="9"/>
        <color rgb="FF000000"/>
        <rFont val="맑은 고딕"/>
        <family val="3"/>
        <charset val="129"/>
      </rPr>
      <t>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및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자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총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계</t>
    </r>
  </si>
  <si>
    <r>
      <rPr>
        <b/>
        <sz val="9"/>
        <color theme="0"/>
        <rFont val="맑은 고딕"/>
        <family val="3"/>
        <charset val="129"/>
      </rPr>
      <t>손익계산서</t>
    </r>
    <phoneticPr fontId="2" type="noConversion"/>
  </si>
  <si>
    <r>
      <rPr>
        <sz val="9"/>
        <color rgb="FF000000"/>
        <rFont val="맑은 고딕"/>
        <family val="3"/>
        <charset val="129"/>
      </rPr>
      <t>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목</t>
    </r>
  </si>
  <si>
    <r>
      <t>2018</t>
    </r>
    <r>
      <rPr>
        <sz val="9"/>
        <color rgb="FF000000"/>
        <rFont val="맑은 고딕"/>
        <family val="3"/>
        <charset val="129"/>
      </rPr>
      <t>년</t>
    </r>
    <r>
      <rPr>
        <sz val="9"/>
        <color rgb="FF000000"/>
        <rFont val="Arial"/>
        <family val="2"/>
      </rPr>
      <t>(</t>
    </r>
    <r>
      <rPr>
        <sz val="9"/>
        <color rgb="FF000000"/>
        <rFont val="맑은 고딕"/>
        <family val="3"/>
        <charset val="129"/>
      </rPr>
      <t>제</t>
    </r>
    <r>
      <rPr>
        <sz val="9"/>
        <color rgb="FF000000"/>
        <rFont val="Arial"/>
        <family val="2"/>
      </rPr>
      <t>2</t>
    </r>
    <r>
      <rPr>
        <sz val="9"/>
        <color rgb="FF000000"/>
        <rFont val="맑은 고딕"/>
        <family val="3"/>
        <charset val="129"/>
      </rPr>
      <t>기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</si>
  <si>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맑은 고딕"/>
        <family val="3"/>
        <charset val="129"/>
      </rPr>
      <t>Ⅰ</t>
    </r>
    <r>
      <rPr>
        <sz val="9"/>
        <color rgb="FF000000"/>
        <rFont val="Arial"/>
        <family val="2"/>
      </rPr>
      <t xml:space="preserve">. </t>
    </r>
    <r>
      <rPr>
        <sz val="9"/>
        <color rgb="FF000000"/>
        <rFont val="맑은 고딕"/>
        <family val="3"/>
        <charset val="129"/>
      </rPr>
      <t>매출액</t>
    </r>
  </si>
  <si>
    <r>
      <rPr>
        <sz val="9"/>
        <color rgb="FF000000"/>
        <rFont val="맑은 고딕"/>
        <family val="3"/>
        <charset val="129"/>
      </rPr>
      <t>Ⅱ</t>
    </r>
    <r>
      <rPr>
        <sz val="9"/>
        <color rgb="FF000000"/>
        <rFont val="Arial"/>
        <family val="2"/>
      </rPr>
      <t xml:space="preserve">. </t>
    </r>
    <r>
      <rPr>
        <sz val="9"/>
        <color rgb="FF000000"/>
        <rFont val="맑은 고딕"/>
        <family val="3"/>
        <charset val="129"/>
      </rPr>
      <t>매출원가</t>
    </r>
  </si>
  <si>
    <r>
      <rPr>
        <sz val="9"/>
        <color rgb="FF000000"/>
        <rFont val="맑은 고딕"/>
        <family val="3"/>
        <charset val="129"/>
      </rPr>
      <t>Ⅲ</t>
    </r>
    <r>
      <rPr>
        <sz val="9"/>
        <color rgb="FF000000"/>
        <rFont val="Arial"/>
        <family val="2"/>
      </rPr>
      <t xml:space="preserve">. </t>
    </r>
    <r>
      <rPr>
        <sz val="9"/>
        <color rgb="FF000000"/>
        <rFont val="맑은 고딕"/>
        <family val="3"/>
        <charset val="129"/>
      </rPr>
      <t>매출총이익</t>
    </r>
  </si>
  <si>
    <r>
      <rPr>
        <sz val="9"/>
        <color rgb="FF000000"/>
        <rFont val="맑은 고딕"/>
        <family val="3"/>
        <charset val="129"/>
      </rPr>
      <t>Ⅳ</t>
    </r>
    <r>
      <rPr>
        <sz val="9"/>
        <color rgb="FF000000"/>
        <rFont val="Arial"/>
        <family val="2"/>
      </rPr>
      <t xml:space="preserve">. </t>
    </r>
    <r>
      <rPr>
        <sz val="9"/>
        <color rgb="FF000000"/>
        <rFont val="맑은 고딕"/>
        <family val="3"/>
        <charset val="129"/>
      </rPr>
      <t>판매비와관리비</t>
    </r>
  </si>
  <si>
    <r>
      <rPr>
        <sz val="9"/>
        <color rgb="FF000000"/>
        <rFont val="맑은 고딕"/>
        <family val="3"/>
        <charset val="129"/>
      </rPr>
      <t>Ⅴ</t>
    </r>
    <r>
      <rPr>
        <sz val="9"/>
        <color rgb="FF000000"/>
        <rFont val="Arial"/>
        <family val="2"/>
      </rPr>
      <t xml:space="preserve">. </t>
    </r>
    <r>
      <rPr>
        <sz val="9"/>
        <color rgb="FF000000"/>
        <rFont val="맑은 고딕"/>
        <family val="3"/>
        <charset val="129"/>
      </rPr>
      <t>영업이익</t>
    </r>
  </si>
  <si>
    <r>
      <t xml:space="preserve">     </t>
    </r>
    <r>
      <rPr>
        <sz val="9"/>
        <color rgb="FF000000"/>
        <rFont val="맑은 고딕"/>
        <family val="3"/>
        <charset val="129"/>
      </rPr>
      <t>기타영업외수익</t>
    </r>
  </si>
  <si>
    <r>
      <t xml:space="preserve">     </t>
    </r>
    <r>
      <rPr>
        <sz val="9"/>
        <color rgb="FF000000"/>
        <rFont val="맑은 고딕"/>
        <family val="3"/>
        <charset val="129"/>
      </rPr>
      <t>기타영업외비용</t>
    </r>
  </si>
  <si>
    <r>
      <t xml:space="preserve">     </t>
    </r>
    <r>
      <rPr>
        <sz val="9"/>
        <color rgb="FF000000"/>
        <rFont val="맑은 고딕"/>
        <family val="3"/>
        <charset val="129"/>
      </rPr>
      <t>금융이익</t>
    </r>
  </si>
  <si>
    <r>
      <t xml:space="preserve">     </t>
    </r>
    <r>
      <rPr>
        <sz val="9"/>
        <color rgb="FF000000"/>
        <rFont val="맑은 고딕"/>
        <family val="3"/>
        <charset val="129"/>
      </rPr>
      <t>금융원가</t>
    </r>
  </si>
  <si>
    <r>
      <rPr>
        <sz val="9"/>
        <color rgb="FF000000"/>
        <rFont val="맑은 고딕"/>
        <family val="3"/>
        <charset val="129"/>
      </rPr>
      <t>Ⅵ</t>
    </r>
    <r>
      <rPr>
        <sz val="9"/>
        <color rgb="FF000000"/>
        <rFont val="Arial"/>
        <family val="2"/>
      </rPr>
      <t xml:space="preserve">. </t>
    </r>
    <r>
      <rPr>
        <sz val="9"/>
        <color rgb="FF000000"/>
        <rFont val="맑은 고딕"/>
        <family val="3"/>
        <charset val="129"/>
      </rPr>
      <t>법인세비용차감전순이익</t>
    </r>
  </si>
  <si>
    <r>
      <rPr>
        <sz val="9"/>
        <color rgb="FF000000"/>
        <rFont val="맑은 고딕"/>
        <family val="3"/>
        <charset val="129"/>
      </rPr>
      <t>Ⅶ</t>
    </r>
    <r>
      <rPr>
        <sz val="9"/>
        <color rgb="FF000000"/>
        <rFont val="Arial"/>
        <family val="2"/>
      </rPr>
      <t xml:space="preserve">. </t>
    </r>
    <r>
      <rPr>
        <sz val="9"/>
        <color rgb="FF000000"/>
        <rFont val="맑은 고딕"/>
        <family val="3"/>
        <charset val="129"/>
      </rPr>
      <t>법인세비용</t>
    </r>
  </si>
  <si>
    <r>
      <rPr>
        <sz val="9"/>
        <color rgb="FF000000"/>
        <rFont val="맑은 고딕"/>
        <family val="3"/>
        <charset val="129"/>
      </rPr>
      <t>Ⅷ</t>
    </r>
    <r>
      <rPr>
        <sz val="9"/>
        <color rgb="FF000000"/>
        <rFont val="Arial"/>
        <family val="2"/>
      </rPr>
      <t xml:space="preserve">. </t>
    </r>
    <r>
      <rPr>
        <sz val="9"/>
        <color rgb="FF000000"/>
        <rFont val="맑은 고딕"/>
        <family val="3"/>
        <charset val="129"/>
      </rPr>
      <t>당기순이익</t>
    </r>
  </si>
  <si>
    <r>
      <rPr>
        <sz val="9"/>
        <color rgb="FF000000"/>
        <rFont val="맑은 고딕"/>
        <family val="3"/>
        <charset val="129"/>
      </rPr>
      <t>Ⅸ</t>
    </r>
    <r>
      <rPr>
        <sz val="9"/>
        <color rgb="FF000000"/>
        <rFont val="Arial"/>
        <family val="2"/>
      </rPr>
      <t xml:space="preserve">. </t>
    </r>
    <r>
      <rPr>
        <sz val="9"/>
        <color rgb="FF000000"/>
        <rFont val="맑은 고딕"/>
        <family val="3"/>
        <charset val="129"/>
      </rPr>
      <t>기타포괄손익</t>
    </r>
  </si>
  <si>
    <r>
      <t xml:space="preserve">     </t>
    </r>
    <r>
      <rPr>
        <sz val="9"/>
        <color rgb="FF000000"/>
        <rFont val="맑은 고딕"/>
        <family val="3"/>
        <charset val="129"/>
      </rPr>
      <t>후속적으로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당기손익으로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재분류되지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않는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항목</t>
    </r>
    <phoneticPr fontId="2" type="noConversion"/>
  </si>
  <si>
    <r>
      <t xml:space="preserve">     </t>
    </r>
    <r>
      <rPr>
        <sz val="9"/>
        <color rgb="FF000000"/>
        <rFont val="맑은 고딕"/>
        <family val="3"/>
        <charset val="129"/>
      </rPr>
      <t>순확정급여채무의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재측정요소</t>
    </r>
    <phoneticPr fontId="2" type="noConversion"/>
  </si>
  <si>
    <r>
      <rPr>
        <sz val="9"/>
        <color rgb="FF000000"/>
        <rFont val="맑은 고딕"/>
        <family val="3"/>
        <charset val="129"/>
      </rPr>
      <t>Ⅹ</t>
    </r>
    <r>
      <rPr>
        <sz val="9"/>
        <color rgb="FF000000"/>
        <rFont val="Arial"/>
        <family val="2"/>
      </rPr>
      <t xml:space="preserve">. </t>
    </r>
    <r>
      <rPr>
        <sz val="9"/>
        <color rgb="FF000000"/>
        <rFont val="맑은 고딕"/>
        <family val="3"/>
        <charset val="129"/>
      </rPr>
      <t>총포괄이익</t>
    </r>
  </si>
  <si>
    <r>
      <t xml:space="preserve">XI. </t>
    </r>
    <r>
      <rPr>
        <sz val="9"/>
        <color rgb="FF000000"/>
        <rFont val="맑은 고딕"/>
        <family val="3"/>
        <charset val="129"/>
      </rPr>
      <t>주당이익</t>
    </r>
  </si>
  <si>
    <r>
      <t xml:space="preserve">     </t>
    </r>
    <r>
      <rPr>
        <sz val="9"/>
        <color rgb="FF000000"/>
        <rFont val="맑은 고딕"/>
        <family val="3"/>
        <charset val="129"/>
      </rPr>
      <t>기본주당이익</t>
    </r>
  </si>
  <si>
    <r>
      <t xml:space="preserve">     </t>
    </r>
    <r>
      <rPr>
        <sz val="9"/>
        <color rgb="FF000000"/>
        <rFont val="맑은 고딕"/>
        <family val="3"/>
        <charset val="129"/>
      </rPr>
      <t>희석주당이익</t>
    </r>
  </si>
  <si>
    <r>
      <rPr>
        <b/>
        <sz val="9"/>
        <color theme="0"/>
        <rFont val="맑은 고딕"/>
        <family val="3"/>
        <charset val="129"/>
      </rPr>
      <t>현금흐름표</t>
    </r>
    <phoneticPr fontId="2" type="noConversion"/>
  </si>
  <si>
    <r>
      <rPr>
        <sz val="9"/>
        <color rgb="FF000000"/>
        <rFont val="맑은 고딕"/>
        <family val="3"/>
        <charset val="129"/>
      </rPr>
      <t>Ⅰ</t>
    </r>
    <r>
      <rPr>
        <sz val="9"/>
        <color rgb="FF000000"/>
        <rFont val="Arial"/>
        <family val="2"/>
      </rPr>
      <t>.</t>
    </r>
    <r>
      <rPr>
        <sz val="9"/>
        <color rgb="FF000000"/>
        <rFont val="맑은 고딕"/>
        <family val="3"/>
        <charset val="129"/>
      </rPr>
      <t>영업활동으로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인한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현금흐름</t>
    </r>
  </si>
  <si>
    <r>
      <t xml:space="preserve">1. </t>
    </r>
    <r>
      <rPr>
        <sz val="9"/>
        <color rgb="FF000000"/>
        <rFont val="맑은 고딕"/>
        <family val="3"/>
        <charset val="129"/>
      </rPr>
      <t>영업활동에서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창출된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현금</t>
    </r>
  </si>
  <si>
    <r>
      <t xml:space="preserve">(1) </t>
    </r>
    <r>
      <rPr>
        <sz val="9"/>
        <color rgb="FF000000"/>
        <rFont val="맑은 고딕"/>
        <family val="3"/>
        <charset val="129"/>
      </rPr>
      <t>당기순이익</t>
    </r>
  </si>
  <si>
    <r>
      <t xml:space="preserve">(2) </t>
    </r>
    <r>
      <rPr>
        <sz val="9"/>
        <color rgb="FF000000"/>
        <rFont val="맑은 고딕"/>
        <family val="3"/>
        <charset val="129"/>
      </rPr>
      <t>조정</t>
    </r>
  </si>
  <si>
    <r>
      <t xml:space="preserve">     </t>
    </r>
    <r>
      <rPr>
        <sz val="9"/>
        <color rgb="FF000000"/>
        <rFont val="맑은 고딕"/>
        <family val="3"/>
        <charset val="129"/>
      </rPr>
      <t>법인세비용</t>
    </r>
  </si>
  <si>
    <r>
      <t xml:space="preserve">     </t>
    </r>
    <r>
      <rPr>
        <sz val="9"/>
        <color rgb="FF000000"/>
        <rFont val="맑은 고딕"/>
        <family val="3"/>
        <charset val="129"/>
      </rPr>
      <t>퇴직급여</t>
    </r>
  </si>
  <si>
    <r>
      <t xml:space="preserve">     </t>
    </r>
    <r>
      <rPr>
        <b/>
        <sz val="9"/>
        <color rgb="FF000000"/>
        <rFont val="맑은 고딕"/>
        <family val="3"/>
        <charset val="129"/>
      </rPr>
      <t>감가상각비</t>
    </r>
  </si>
  <si>
    <r>
      <t xml:space="preserve">     </t>
    </r>
    <r>
      <rPr>
        <sz val="9"/>
        <color rgb="FF000000"/>
        <rFont val="맑은 고딕"/>
        <family val="3"/>
        <charset val="129"/>
      </rPr>
      <t>복리후생비</t>
    </r>
  </si>
  <si>
    <r>
      <t xml:space="preserve">     </t>
    </r>
    <r>
      <rPr>
        <b/>
        <sz val="9"/>
        <color rgb="FF000000"/>
        <rFont val="맑은 고딕"/>
        <family val="3"/>
        <charset val="129"/>
      </rPr>
      <t>무형자산상각비</t>
    </r>
  </si>
  <si>
    <r>
      <t xml:space="preserve">     </t>
    </r>
    <r>
      <rPr>
        <sz val="9"/>
        <color rgb="FF000000"/>
        <rFont val="맑은 고딕"/>
        <family val="3"/>
        <charset val="129"/>
      </rPr>
      <t>대손상각비</t>
    </r>
  </si>
  <si>
    <r>
      <t xml:space="preserve">     </t>
    </r>
    <r>
      <rPr>
        <sz val="9"/>
        <color rgb="FF000000"/>
        <rFont val="맑은 고딕"/>
        <family val="3"/>
        <charset val="129"/>
      </rPr>
      <t>대손충당금환입</t>
    </r>
  </si>
  <si>
    <r>
      <t xml:space="preserve">     </t>
    </r>
    <r>
      <rPr>
        <sz val="9"/>
        <color rgb="FF000000"/>
        <rFont val="맑은 고딕"/>
        <family val="3"/>
        <charset val="129"/>
      </rPr>
      <t>기타의대손상각비</t>
    </r>
  </si>
  <si>
    <r>
      <t xml:space="preserve">     </t>
    </r>
    <r>
      <rPr>
        <sz val="9"/>
        <color rgb="FF000000"/>
        <rFont val="맑은 고딕"/>
        <family val="3"/>
        <charset val="129"/>
      </rPr>
      <t>재고자산평가손실</t>
    </r>
  </si>
  <si>
    <r>
      <t xml:space="preserve">     </t>
    </r>
    <r>
      <rPr>
        <sz val="9"/>
        <color rgb="FF000000"/>
        <rFont val="맑은 고딕"/>
        <family val="3"/>
        <charset val="129"/>
      </rPr>
      <t>재고자산감모손실</t>
    </r>
  </si>
  <si>
    <r>
      <t xml:space="preserve">     </t>
    </r>
    <r>
      <rPr>
        <sz val="9"/>
        <color rgb="FF000000"/>
        <rFont val="맑은 고딕"/>
        <family val="3"/>
        <charset val="129"/>
      </rPr>
      <t>이자비용</t>
    </r>
  </si>
  <si>
    <r>
      <t xml:space="preserve">     </t>
    </r>
    <r>
      <rPr>
        <sz val="9"/>
        <color rgb="FF000000"/>
        <rFont val="맑은 고딕"/>
        <family val="3"/>
        <charset val="129"/>
      </rPr>
      <t>유형자산처분손실</t>
    </r>
  </si>
  <si>
    <r>
      <t xml:space="preserve">     </t>
    </r>
    <r>
      <rPr>
        <sz val="9"/>
        <color rgb="FF000000"/>
        <rFont val="맑은 고딕"/>
        <family val="3"/>
        <charset val="129"/>
      </rPr>
      <t>이자수익</t>
    </r>
  </si>
  <si>
    <r>
      <t xml:space="preserve">     </t>
    </r>
    <r>
      <rPr>
        <sz val="9"/>
        <color rgb="FF000000"/>
        <rFont val="맑은 고딕"/>
        <family val="3"/>
        <charset val="129"/>
      </rPr>
      <t>재고자산평가손실환입</t>
    </r>
  </si>
  <si>
    <r>
      <t xml:space="preserve">     </t>
    </r>
    <r>
      <rPr>
        <sz val="9"/>
        <color rgb="FF000000"/>
        <rFont val="맑은 고딕"/>
        <family val="3"/>
        <charset val="129"/>
      </rPr>
      <t>유형자산처분이익</t>
    </r>
  </si>
  <si>
    <r>
      <t xml:space="preserve">     </t>
    </r>
    <r>
      <rPr>
        <sz val="9"/>
        <color rgb="FF000000"/>
        <rFont val="맑은 고딕"/>
        <family val="3"/>
        <charset val="129"/>
      </rPr>
      <t>리스회수이익</t>
    </r>
  </si>
  <si>
    <r>
      <t xml:space="preserve">     </t>
    </r>
    <r>
      <rPr>
        <sz val="9"/>
        <color rgb="FF000000"/>
        <rFont val="맑은 고딕"/>
        <family val="3"/>
        <charset val="129"/>
      </rPr>
      <t>리스회수손실</t>
    </r>
  </si>
  <si>
    <r>
      <t xml:space="preserve">     </t>
    </r>
    <r>
      <rPr>
        <sz val="9"/>
        <color rgb="FF000000"/>
        <rFont val="맑은 고딕"/>
        <family val="3"/>
        <charset val="129"/>
      </rPr>
      <t>파생상품평가이익</t>
    </r>
  </si>
  <si>
    <r>
      <t xml:space="preserve">     </t>
    </r>
    <r>
      <rPr>
        <sz val="9"/>
        <color rgb="FF000000"/>
        <rFont val="맑은 고딕"/>
        <family val="3"/>
        <charset val="129"/>
      </rPr>
      <t>주식보상비용</t>
    </r>
  </si>
  <si>
    <r>
      <t xml:space="preserve">(3) </t>
    </r>
    <r>
      <rPr>
        <sz val="9"/>
        <color rgb="FF000000"/>
        <rFont val="맑은 고딕"/>
        <family val="3"/>
        <charset val="129"/>
      </rPr>
      <t>운전자본변동</t>
    </r>
  </si>
  <si>
    <r>
      <t xml:space="preserve">     </t>
    </r>
    <r>
      <rPr>
        <sz val="9"/>
        <color rgb="FF000000"/>
        <rFont val="맑은 고딕"/>
        <family val="3"/>
        <charset val="129"/>
      </rPr>
      <t>매출채권</t>
    </r>
  </si>
  <si>
    <r>
      <t xml:space="preserve">     </t>
    </r>
    <r>
      <rPr>
        <sz val="9"/>
        <color rgb="FF000000"/>
        <rFont val="맑은 고딕"/>
        <family val="3"/>
        <charset val="129"/>
      </rPr>
      <t>단기금융상품</t>
    </r>
  </si>
  <si>
    <r>
      <t xml:space="preserve">     </t>
    </r>
    <r>
      <rPr>
        <sz val="9"/>
        <color rgb="FF000000"/>
        <rFont val="맑은 고딕"/>
        <family val="3"/>
        <charset val="129"/>
      </rPr>
      <t>미수금</t>
    </r>
  </si>
  <si>
    <r>
      <t xml:space="preserve">     </t>
    </r>
    <r>
      <rPr>
        <sz val="9"/>
        <color rgb="FF000000"/>
        <rFont val="맑은 고딕"/>
        <family val="3"/>
        <charset val="129"/>
      </rPr>
      <t>선급금</t>
    </r>
  </si>
  <si>
    <r>
      <t xml:space="preserve">     </t>
    </r>
    <r>
      <rPr>
        <sz val="9"/>
        <color rgb="FF000000"/>
        <rFont val="맑은 고딕"/>
        <family val="3"/>
        <charset val="129"/>
      </rPr>
      <t>선급비용</t>
    </r>
  </si>
  <si>
    <r>
      <t xml:space="preserve">     </t>
    </r>
    <r>
      <rPr>
        <sz val="9"/>
        <color rgb="FF000000"/>
        <rFont val="맑은 고딕"/>
        <family val="3"/>
        <charset val="129"/>
      </rPr>
      <t>상품</t>
    </r>
  </si>
  <si>
    <r>
      <t xml:space="preserve">     </t>
    </r>
    <r>
      <rPr>
        <sz val="9"/>
        <color rgb="FF000000"/>
        <rFont val="맑은 고딕"/>
        <family val="3"/>
        <charset val="129"/>
      </rPr>
      <t>저장품</t>
    </r>
  </si>
  <si>
    <r>
      <t xml:space="preserve">     </t>
    </r>
    <r>
      <rPr>
        <sz val="9"/>
        <color rgb="FF000000"/>
        <rFont val="맑은 고딕"/>
        <family val="3"/>
        <charset val="129"/>
      </rPr>
      <t>보증금</t>
    </r>
  </si>
  <si>
    <r>
      <t xml:space="preserve">     </t>
    </r>
    <r>
      <rPr>
        <sz val="9"/>
        <color rgb="FF000000"/>
        <rFont val="맑은 고딕"/>
        <family val="3"/>
        <charset val="129"/>
      </rPr>
      <t>차량운반구</t>
    </r>
  </si>
  <si>
    <r>
      <t xml:space="preserve">     </t>
    </r>
    <r>
      <rPr>
        <sz val="9"/>
        <color rgb="FF000000"/>
        <rFont val="맑은 고딕"/>
        <family val="3"/>
        <charset val="129"/>
      </rPr>
      <t>건설중인자산</t>
    </r>
  </si>
  <si>
    <r>
      <t xml:space="preserve">     </t>
    </r>
    <r>
      <rPr>
        <sz val="9"/>
        <color rgb="FF000000"/>
        <rFont val="맑은 고딕"/>
        <family val="3"/>
        <charset val="129"/>
      </rPr>
      <t>부가세대급금</t>
    </r>
  </si>
  <si>
    <r>
      <t xml:space="preserve">     </t>
    </r>
    <r>
      <rPr>
        <sz val="9"/>
        <color rgb="FF000000"/>
        <rFont val="맑은 고딕"/>
        <family val="3"/>
        <charset val="129"/>
      </rPr>
      <t>매입채무</t>
    </r>
  </si>
  <si>
    <r>
      <t xml:space="preserve">     </t>
    </r>
    <r>
      <rPr>
        <sz val="9"/>
        <color rgb="FF000000"/>
        <rFont val="맑은 고딕"/>
        <family val="3"/>
        <charset val="129"/>
      </rPr>
      <t>미지급금</t>
    </r>
  </si>
  <si>
    <r>
      <t xml:space="preserve">     </t>
    </r>
    <r>
      <rPr>
        <sz val="9"/>
        <color rgb="FF000000"/>
        <rFont val="맑은 고딕"/>
        <family val="3"/>
        <charset val="129"/>
      </rPr>
      <t>미지급비용</t>
    </r>
  </si>
  <si>
    <r>
      <t xml:space="preserve">     </t>
    </r>
    <r>
      <rPr>
        <sz val="9"/>
        <color rgb="FF000000"/>
        <rFont val="맑은 고딕"/>
        <family val="3"/>
        <charset val="129"/>
      </rPr>
      <t>부가세예수금</t>
    </r>
  </si>
  <si>
    <r>
      <t xml:space="preserve">     </t>
    </r>
    <r>
      <rPr>
        <sz val="9"/>
        <color rgb="FF000000"/>
        <rFont val="맑은 고딕"/>
        <family val="3"/>
        <charset val="129"/>
      </rPr>
      <t>임대보증금</t>
    </r>
  </si>
  <si>
    <r>
      <t xml:space="preserve">     </t>
    </r>
    <r>
      <rPr>
        <sz val="9"/>
        <color rgb="FF000000"/>
        <rFont val="맑은 고딕"/>
        <family val="3"/>
        <charset val="129"/>
      </rPr>
      <t>예수금</t>
    </r>
  </si>
  <si>
    <r>
      <t xml:space="preserve">     </t>
    </r>
    <r>
      <rPr>
        <sz val="9"/>
        <color rgb="FF000000"/>
        <rFont val="맑은 고딕"/>
        <family val="3"/>
        <charset val="129"/>
      </rPr>
      <t>선수수익</t>
    </r>
  </si>
  <si>
    <r>
      <t xml:space="preserve">     </t>
    </r>
    <r>
      <rPr>
        <sz val="9"/>
        <color rgb="FF000000"/>
        <rFont val="맑은 고딕"/>
        <family val="3"/>
        <charset val="129"/>
      </rPr>
      <t>선수금</t>
    </r>
  </si>
  <si>
    <r>
      <t xml:space="preserve">     </t>
    </r>
    <r>
      <rPr>
        <sz val="9"/>
        <color rgb="FF000000"/>
        <rFont val="맑은 고딕"/>
        <family val="3"/>
        <charset val="129"/>
      </rPr>
      <t>예수보증금</t>
    </r>
  </si>
  <si>
    <r>
      <t xml:space="preserve">     </t>
    </r>
    <r>
      <rPr>
        <sz val="9"/>
        <color rgb="FF000000"/>
        <rFont val="맑은 고딕"/>
        <family val="3"/>
        <charset val="129"/>
      </rPr>
      <t>기타장기급여부채</t>
    </r>
  </si>
  <si>
    <r>
      <t xml:space="preserve">     </t>
    </r>
    <r>
      <rPr>
        <sz val="9"/>
        <color rgb="FF000000"/>
        <rFont val="맑은 고딕"/>
        <family val="3"/>
        <charset val="129"/>
      </rPr>
      <t>장기선수수익</t>
    </r>
  </si>
  <si>
    <r>
      <t xml:space="preserve">     </t>
    </r>
    <r>
      <rPr>
        <sz val="9"/>
        <color rgb="FF000000"/>
        <rFont val="맑은 고딕"/>
        <family val="3"/>
        <charset val="129"/>
      </rPr>
      <t>장기선수금</t>
    </r>
  </si>
  <si>
    <r>
      <t xml:space="preserve">     </t>
    </r>
    <r>
      <rPr>
        <sz val="9"/>
        <color rgb="FF000000"/>
        <rFont val="맑은 고딕"/>
        <family val="3"/>
        <charset val="129"/>
      </rPr>
      <t>장기선급비용</t>
    </r>
  </si>
  <si>
    <r>
      <t xml:space="preserve">     </t>
    </r>
    <r>
      <rPr>
        <sz val="9"/>
        <color rgb="FF000000"/>
        <rFont val="맑은 고딕"/>
        <family val="3"/>
        <charset val="129"/>
      </rPr>
      <t>계약부채</t>
    </r>
  </si>
  <si>
    <r>
      <t xml:space="preserve">     </t>
    </r>
    <r>
      <rPr>
        <sz val="9"/>
        <color rgb="FF000000"/>
        <rFont val="맑은 고딕"/>
        <family val="3"/>
        <charset val="129"/>
      </rPr>
      <t>퇴직금</t>
    </r>
  </si>
  <si>
    <r>
      <t xml:space="preserve">     </t>
    </r>
    <r>
      <rPr>
        <sz val="9"/>
        <color rgb="FF000000"/>
        <rFont val="맑은 고딕"/>
        <family val="3"/>
        <charset val="129"/>
      </rPr>
      <t>퇴직연금운용자산</t>
    </r>
  </si>
  <si>
    <r>
      <t xml:space="preserve">2. </t>
    </r>
    <r>
      <rPr>
        <sz val="9"/>
        <color rgb="FF000000"/>
        <rFont val="맑은 고딕"/>
        <family val="3"/>
        <charset val="129"/>
      </rPr>
      <t>이자수익의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수취</t>
    </r>
  </si>
  <si>
    <r>
      <t xml:space="preserve">3. </t>
    </r>
    <r>
      <rPr>
        <sz val="9"/>
        <color rgb="FF000000"/>
        <rFont val="맑은 고딕"/>
        <family val="3"/>
        <charset val="129"/>
      </rPr>
      <t>이자비용의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지급</t>
    </r>
  </si>
  <si>
    <r>
      <t xml:space="preserve">4. </t>
    </r>
    <r>
      <rPr>
        <sz val="9"/>
        <color rgb="FF000000"/>
        <rFont val="맑은 고딕"/>
        <family val="3"/>
        <charset val="129"/>
      </rPr>
      <t>법인세의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환입</t>
    </r>
    <r>
      <rPr>
        <sz val="9"/>
        <color rgb="FF000000"/>
        <rFont val="Arial"/>
        <family val="2"/>
      </rPr>
      <t>(</t>
    </r>
    <r>
      <rPr>
        <sz val="9"/>
        <color rgb="FF000000"/>
        <rFont val="맑은 고딕"/>
        <family val="3"/>
        <charset val="129"/>
      </rPr>
      <t>납부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</si>
  <si>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맑은 고딕"/>
        <family val="3"/>
        <charset val="129"/>
      </rPr>
      <t>Ⅱ</t>
    </r>
    <r>
      <rPr>
        <sz val="9"/>
        <color rgb="FF000000"/>
        <rFont val="Arial"/>
        <family val="2"/>
      </rPr>
      <t xml:space="preserve">. </t>
    </r>
    <r>
      <rPr>
        <sz val="9"/>
        <color rgb="FF000000"/>
        <rFont val="맑은 고딕"/>
        <family val="3"/>
        <charset val="129"/>
      </rPr>
      <t>투자활동으로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인한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현금흐름</t>
    </r>
  </si>
  <si>
    <r>
      <t xml:space="preserve">1. </t>
    </r>
    <r>
      <rPr>
        <sz val="9"/>
        <color rgb="FF000000"/>
        <rFont val="맑은 고딕"/>
        <family val="3"/>
        <charset val="129"/>
      </rPr>
      <t>투자활동으로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인한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현금유입액</t>
    </r>
  </si>
  <si>
    <r>
      <rPr>
        <sz val="9"/>
        <color rgb="FF000000"/>
        <rFont val="맑은 고딕"/>
        <family val="3"/>
        <charset val="129"/>
      </rPr>
      <t>유형자산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처분</t>
    </r>
  </si>
  <si>
    <r>
      <rPr>
        <sz val="9"/>
        <color rgb="FF000000"/>
        <rFont val="맑은 고딕"/>
        <family val="3"/>
        <charset val="129"/>
      </rPr>
      <t>단기대여금의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감소</t>
    </r>
  </si>
  <si>
    <r>
      <rPr>
        <sz val="9"/>
        <color rgb="FF000000"/>
        <rFont val="맑은 고딕"/>
        <family val="3"/>
        <charset val="129"/>
      </rPr>
      <t>보증금의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감소</t>
    </r>
  </si>
  <si>
    <r>
      <rPr>
        <sz val="9"/>
        <color rgb="FF000000"/>
        <rFont val="맑은 고딕"/>
        <family val="3"/>
        <charset val="129"/>
      </rPr>
      <t>리스인센티브</t>
    </r>
  </si>
  <si>
    <r>
      <t xml:space="preserve">2. </t>
    </r>
    <r>
      <rPr>
        <sz val="9"/>
        <color rgb="FF000000"/>
        <rFont val="맑은 고딕"/>
        <family val="3"/>
        <charset val="129"/>
      </rPr>
      <t>투자활동으로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인한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현금유출액</t>
    </r>
  </si>
  <si>
    <r>
      <rPr>
        <sz val="9"/>
        <color rgb="FF000000"/>
        <rFont val="맑은 고딕"/>
        <family val="3"/>
        <charset val="129"/>
      </rPr>
      <t>단기대여금의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증가</t>
    </r>
  </si>
  <si>
    <r>
      <rPr>
        <b/>
        <sz val="9"/>
        <color rgb="FF000000"/>
        <rFont val="맑은 고딕"/>
        <family val="3"/>
        <charset val="129"/>
      </rPr>
      <t>유형자산의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맑은 고딕"/>
        <family val="3"/>
        <charset val="129"/>
      </rPr>
      <t>취득</t>
    </r>
  </si>
  <si>
    <r>
      <rPr>
        <b/>
        <sz val="9"/>
        <color rgb="FF000000"/>
        <rFont val="맑은 고딕"/>
        <family val="3"/>
        <charset val="129"/>
      </rPr>
      <t>무형자산의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맑은 고딕"/>
        <family val="3"/>
        <charset val="129"/>
      </rPr>
      <t>취득</t>
    </r>
  </si>
  <si>
    <r>
      <rPr>
        <sz val="9"/>
        <color rgb="FF000000"/>
        <rFont val="맑은 고딕"/>
        <family val="3"/>
        <charset val="129"/>
      </rPr>
      <t>사업양수도로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인한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현금유출</t>
    </r>
  </si>
  <si>
    <r>
      <rPr>
        <sz val="9"/>
        <color rgb="FF000000"/>
        <rFont val="맑은 고딕"/>
        <family val="3"/>
        <charset val="129"/>
      </rPr>
      <t>Ⅲ</t>
    </r>
    <r>
      <rPr>
        <sz val="9"/>
        <color rgb="FF000000"/>
        <rFont val="Arial"/>
        <family val="2"/>
      </rPr>
      <t xml:space="preserve">. </t>
    </r>
    <r>
      <rPr>
        <sz val="9"/>
        <color rgb="FF000000"/>
        <rFont val="맑은 고딕"/>
        <family val="3"/>
        <charset val="129"/>
      </rPr>
      <t>재무활동으로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인한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현금흐름</t>
    </r>
  </si>
  <si>
    <r>
      <t xml:space="preserve">1. </t>
    </r>
    <r>
      <rPr>
        <sz val="9"/>
        <color rgb="FF000000"/>
        <rFont val="맑은 고딕"/>
        <family val="3"/>
        <charset val="129"/>
      </rPr>
      <t>재무활동으로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인한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현금유입액</t>
    </r>
  </si>
  <si>
    <r>
      <rPr>
        <sz val="9"/>
        <color rgb="FF000000"/>
        <rFont val="맑은 고딕"/>
        <family val="3"/>
        <charset val="129"/>
      </rPr>
      <t>유상증자</t>
    </r>
  </si>
  <si>
    <r>
      <rPr>
        <sz val="9"/>
        <color rgb="FF000000"/>
        <rFont val="맑은 고딕"/>
        <family val="3"/>
        <charset val="129"/>
      </rPr>
      <t>장기차입금의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차입</t>
    </r>
  </si>
  <si>
    <r>
      <rPr>
        <sz val="9"/>
        <color rgb="FF000000"/>
        <rFont val="맑은 고딕"/>
        <family val="3"/>
        <charset val="129"/>
      </rPr>
      <t>단기차입금의</t>
    </r>
    <r>
      <rPr>
        <sz val="9"/>
        <color rgb="FF000000"/>
        <rFont val="Arial"/>
        <family val="2"/>
      </rPr>
      <t xml:space="preserve">  </t>
    </r>
    <r>
      <rPr>
        <sz val="9"/>
        <color rgb="FF000000"/>
        <rFont val="맑은 고딕"/>
        <family val="3"/>
        <charset val="129"/>
      </rPr>
      <t>차입</t>
    </r>
  </si>
  <si>
    <r>
      <rPr>
        <sz val="9"/>
        <color rgb="FF000000"/>
        <rFont val="맑은 고딕"/>
        <family val="3"/>
        <charset val="129"/>
      </rPr>
      <t>전환사채의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발행</t>
    </r>
  </si>
  <si>
    <r>
      <t xml:space="preserve">2. </t>
    </r>
    <r>
      <rPr>
        <sz val="9"/>
        <color rgb="FF000000"/>
        <rFont val="맑은 고딕"/>
        <family val="3"/>
        <charset val="129"/>
      </rPr>
      <t>재무활동으로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인한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현금유출액</t>
    </r>
  </si>
  <si>
    <r>
      <rPr>
        <sz val="9"/>
        <color rgb="FF000000"/>
        <rFont val="맑은 고딕"/>
        <family val="3"/>
        <charset val="129"/>
      </rPr>
      <t>장기차입금의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상환</t>
    </r>
  </si>
  <si>
    <r>
      <rPr>
        <sz val="9"/>
        <color rgb="FF000000"/>
        <rFont val="맑은 고딕"/>
        <family val="3"/>
        <charset val="129"/>
      </rPr>
      <t>단기차입금의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상환</t>
    </r>
  </si>
  <si>
    <r>
      <rPr>
        <sz val="9"/>
        <color rgb="FF000000"/>
        <rFont val="맑은 고딕"/>
        <family val="3"/>
        <charset val="129"/>
      </rPr>
      <t>무상증자</t>
    </r>
  </si>
  <si>
    <r>
      <rPr>
        <sz val="9"/>
        <color rgb="FF000000"/>
        <rFont val="맑은 고딕"/>
        <family val="3"/>
        <charset val="129"/>
      </rPr>
      <t>배당의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지급</t>
    </r>
  </si>
  <si>
    <r>
      <rPr>
        <sz val="9"/>
        <color rgb="FF000000"/>
        <rFont val="맑은 고딕"/>
        <family val="3"/>
        <charset val="129"/>
      </rPr>
      <t>리스부채의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상환</t>
    </r>
  </si>
  <si>
    <r>
      <rPr>
        <sz val="9"/>
        <color rgb="FF000000"/>
        <rFont val="맑은 고딕"/>
        <family val="3"/>
        <charset val="129"/>
      </rPr>
      <t>임대보증금의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감소</t>
    </r>
  </si>
  <si>
    <r>
      <rPr>
        <sz val="9"/>
        <color rgb="FF000000"/>
        <rFont val="맑은 고딕"/>
        <family val="3"/>
        <charset val="129"/>
      </rPr>
      <t>Ⅳ</t>
    </r>
    <r>
      <rPr>
        <sz val="9"/>
        <color rgb="FF000000"/>
        <rFont val="Arial"/>
        <family val="2"/>
      </rPr>
      <t xml:space="preserve">. </t>
    </r>
    <r>
      <rPr>
        <sz val="9"/>
        <color rgb="FF000000"/>
        <rFont val="맑은 고딕"/>
        <family val="3"/>
        <charset val="129"/>
      </rPr>
      <t>현금및현금성자산의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증가</t>
    </r>
  </si>
  <si>
    <r>
      <rPr>
        <sz val="9"/>
        <color rgb="FF000000"/>
        <rFont val="맑은 고딕"/>
        <family val="3"/>
        <charset val="129"/>
      </rPr>
      <t>Ⅴ</t>
    </r>
    <r>
      <rPr>
        <sz val="9"/>
        <color rgb="FF000000"/>
        <rFont val="Arial"/>
        <family val="2"/>
      </rPr>
      <t xml:space="preserve">. </t>
    </r>
    <r>
      <rPr>
        <sz val="9"/>
        <color rgb="FF000000"/>
        <rFont val="맑은 고딕"/>
        <family val="3"/>
        <charset val="129"/>
      </rPr>
      <t>기초의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현금및현금성자산</t>
    </r>
  </si>
  <si>
    <r>
      <rPr>
        <sz val="9"/>
        <color rgb="FF000000"/>
        <rFont val="맑은 고딕"/>
        <family val="3"/>
        <charset val="129"/>
      </rPr>
      <t>Ⅵ</t>
    </r>
    <r>
      <rPr>
        <sz val="9"/>
        <color rgb="FF000000"/>
        <rFont val="Arial"/>
        <family val="2"/>
      </rPr>
      <t xml:space="preserve">. </t>
    </r>
    <r>
      <rPr>
        <sz val="9"/>
        <color rgb="FF000000"/>
        <rFont val="맑은 고딕"/>
        <family val="3"/>
        <charset val="129"/>
      </rPr>
      <t>사업결합에따른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현급유입</t>
    </r>
  </si>
  <si>
    <r>
      <rPr>
        <sz val="9"/>
        <color rgb="FF000000"/>
        <rFont val="맑은 고딕"/>
        <family val="3"/>
        <charset val="129"/>
      </rPr>
      <t>Ⅶ</t>
    </r>
    <r>
      <rPr>
        <sz val="9"/>
        <color rgb="FF000000"/>
        <rFont val="Arial"/>
        <family val="2"/>
      </rPr>
      <t xml:space="preserve">. </t>
    </r>
    <r>
      <rPr>
        <sz val="9"/>
        <color rgb="FF000000"/>
        <rFont val="맑은 고딕"/>
        <family val="3"/>
        <charset val="129"/>
      </rPr>
      <t>기말의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현금및현금성자산</t>
    </r>
  </si>
  <si>
    <r>
      <t>(</t>
    </r>
    <r>
      <rPr>
        <sz val="9"/>
        <color rgb="FF000000"/>
        <rFont val="맑은 고딕"/>
        <family val="3"/>
        <charset val="129"/>
      </rPr>
      <t>단위</t>
    </r>
    <r>
      <rPr>
        <sz val="9"/>
        <color rgb="FF000000"/>
        <rFont val="Arial"/>
        <family val="2"/>
      </rPr>
      <t xml:space="preserve"> : </t>
    </r>
    <r>
      <rPr>
        <sz val="9"/>
        <color rgb="FF000000"/>
        <rFont val="맑은 고딕"/>
        <family val="3"/>
        <charset val="129"/>
      </rPr>
      <t>명</t>
    </r>
    <r>
      <rPr>
        <sz val="9"/>
        <color rgb="FF000000"/>
        <rFont val="Arial"/>
        <family val="2"/>
      </rPr>
      <t>, </t>
    </r>
    <r>
      <rPr>
        <sz val="9"/>
        <color rgb="FF000000"/>
        <rFont val="맑은 고딕"/>
        <family val="3"/>
        <charset val="129"/>
      </rPr>
      <t>천원</t>
    </r>
    <r>
      <rPr>
        <sz val="9"/>
        <color rgb="FF000000"/>
        <rFont val="Arial"/>
        <family val="2"/>
      </rPr>
      <t>) &lt;&lt; 2021</t>
    </r>
    <r>
      <rPr>
        <sz val="9"/>
        <color rgb="FF000000"/>
        <rFont val="맑은 고딕"/>
        <family val="3"/>
        <charset val="129"/>
      </rPr>
      <t>년</t>
    </r>
    <r>
      <rPr>
        <sz val="9"/>
        <color rgb="FF000000"/>
        <rFont val="Arial"/>
        <family val="2"/>
      </rPr>
      <t xml:space="preserve"> 1</t>
    </r>
    <r>
      <rPr>
        <sz val="9"/>
        <color rgb="FF000000"/>
        <rFont val="맑은 고딕"/>
        <family val="3"/>
        <charset val="129"/>
      </rPr>
      <t>월</t>
    </r>
    <r>
      <rPr>
        <sz val="9"/>
        <color rgb="FF000000"/>
        <rFont val="Arial"/>
        <family val="2"/>
      </rPr>
      <t>~7</t>
    </r>
    <r>
      <rPr>
        <sz val="9"/>
        <color rgb="FF000000"/>
        <rFont val="맑은 고딕"/>
        <family val="3"/>
        <charset val="129"/>
      </rPr>
      <t>월</t>
    </r>
    <phoneticPr fontId="2" type="noConversion"/>
  </si>
  <si>
    <r>
      <rPr>
        <sz val="9"/>
        <color rgb="FF000000"/>
        <rFont val="맑은 고딕"/>
        <family val="3"/>
        <charset val="129"/>
      </rPr>
      <t>직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원</t>
    </r>
  </si>
  <si>
    <r>
      <rPr>
        <sz val="9"/>
        <color rgb="FF000000"/>
        <rFont val="맑은 고딕"/>
        <family val="3"/>
        <charset val="129"/>
      </rPr>
      <t>소속외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근로자</t>
    </r>
  </si>
  <si>
    <r>
      <rPr>
        <sz val="9"/>
        <color rgb="FF000000"/>
        <rFont val="맑은 고딕"/>
        <family val="3"/>
        <charset val="129"/>
      </rPr>
      <t>비고</t>
    </r>
  </si>
  <si>
    <r>
      <rPr>
        <sz val="9"/>
        <color rgb="FF000000"/>
        <rFont val="맑은 고딕"/>
        <family val="3"/>
        <charset val="129"/>
      </rPr>
      <t>사업부문</t>
    </r>
  </si>
  <si>
    <r>
      <rPr>
        <sz val="9"/>
        <color rgb="FF000000"/>
        <rFont val="맑은 고딕"/>
        <family val="3"/>
        <charset val="129"/>
      </rPr>
      <t>성별</t>
    </r>
  </si>
  <si>
    <r>
      <rPr>
        <sz val="9"/>
        <color rgb="FF000000"/>
        <rFont val="맑은 고딕"/>
        <family val="3"/>
        <charset val="129"/>
      </rPr>
      <t>직원수</t>
    </r>
  </si>
  <si>
    <r>
      <rPr>
        <sz val="9"/>
        <color rgb="FF000000"/>
        <rFont val="맑은 고딕"/>
        <family val="3"/>
        <charset val="129"/>
      </rPr>
      <t>평균</t>
    </r>
  </si>
  <si>
    <r>
      <rPr>
        <sz val="9"/>
        <color rgb="FF000000"/>
        <rFont val="맑은 고딕"/>
        <family val="3"/>
        <charset val="129"/>
      </rPr>
      <t>연간급여</t>
    </r>
  </si>
  <si>
    <r>
      <t>1</t>
    </r>
    <r>
      <rPr>
        <sz val="9"/>
        <color rgb="FF000000"/>
        <rFont val="맑은 고딕"/>
        <family val="3"/>
        <charset val="129"/>
      </rPr>
      <t>인평균</t>
    </r>
  </si>
  <si>
    <r>
      <rPr>
        <sz val="9"/>
        <color rgb="FF000000"/>
        <rFont val="맑은 고딕"/>
        <family val="3"/>
        <charset val="129"/>
      </rPr>
      <t>남</t>
    </r>
  </si>
  <si>
    <r>
      <rPr>
        <sz val="9"/>
        <color rgb="FF000000"/>
        <rFont val="맑은 고딕"/>
        <family val="3"/>
        <charset val="129"/>
      </rPr>
      <t>여</t>
    </r>
  </si>
  <si>
    <r>
      <rPr>
        <sz val="9"/>
        <color rgb="FF000000"/>
        <rFont val="맑은 고딕"/>
        <family val="3"/>
        <charset val="129"/>
      </rPr>
      <t>계</t>
    </r>
  </si>
  <si>
    <r>
      <rPr>
        <sz val="9"/>
        <color rgb="FF000000"/>
        <rFont val="맑은 고딕"/>
        <family val="3"/>
        <charset val="129"/>
      </rPr>
      <t>기간의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정함이</t>
    </r>
  </si>
  <si>
    <r>
      <rPr>
        <sz val="9"/>
        <color rgb="FF000000"/>
        <rFont val="맑은 고딕"/>
        <family val="3"/>
        <charset val="129"/>
      </rPr>
      <t>기간제</t>
    </r>
  </si>
  <si>
    <r>
      <rPr>
        <sz val="9"/>
        <color rgb="FF000000"/>
        <rFont val="맑은 고딕"/>
        <family val="3"/>
        <charset val="129"/>
      </rPr>
      <t>합계</t>
    </r>
  </si>
  <si>
    <r>
      <rPr>
        <sz val="9"/>
        <color rgb="FF000000"/>
        <rFont val="맑은 고딕"/>
        <family val="3"/>
        <charset val="129"/>
      </rPr>
      <t>근속연수</t>
    </r>
  </si>
  <si>
    <r>
      <rPr>
        <sz val="9"/>
        <color rgb="FF000000"/>
        <rFont val="맑은 고딕"/>
        <family val="3"/>
        <charset val="129"/>
      </rPr>
      <t>총액</t>
    </r>
  </si>
  <si>
    <r>
      <rPr>
        <sz val="9"/>
        <color rgb="FF000000"/>
        <rFont val="맑은 고딕"/>
        <family val="3"/>
        <charset val="129"/>
      </rPr>
      <t>급여액</t>
    </r>
  </si>
  <si>
    <r>
      <rPr>
        <sz val="9"/>
        <color rgb="FF000000"/>
        <rFont val="맑은 고딕"/>
        <family val="3"/>
        <charset val="129"/>
      </rPr>
      <t>없는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근로자</t>
    </r>
  </si>
  <si>
    <r>
      <rPr>
        <sz val="9"/>
        <color rgb="FF000000"/>
        <rFont val="맑은 고딕"/>
        <family val="3"/>
        <charset val="129"/>
      </rPr>
      <t>근로자</t>
    </r>
  </si>
  <si>
    <r>
      <rPr>
        <sz val="9"/>
        <color rgb="FF000000"/>
        <rFont val="맑은 고딕"/>
        <family val="3"/>
        <charset val="129"/>
      </rPr>
      <t>전체</t>
    </r>
  </si>
  <si>
    <r>
      <rPr>
        <sz val="9"/>
        <color rgb="FF000000"/>
        <rFont val="맑은 고딕"/>
        <family val="3"/>
        <charset val="129"/>
      </rPr>
      <t>단시간</t>
    </r>
  </si>
  <si>
    <t>보정액</t>
    <phoneticPr fontId="2" type="noConversion"/>
  </si>
  <si>
    <t>보정결과</t>
    <phoneticPr fontId="2" type="noConversion"/>
  </si>
  <si>
    <t>31,044 </t>
  </si>
  <si>
    <t>21,624 </t>
  </si>
  <si>
    <t>41,470 </t>
  </si>
  <si>
    <t>26,752 </t>
  </si>
  <si>
    <t>42,373 </t>
  </si>
  <si>
    <t>39,333 </t>
  </si>
  <si>
    <t>37,316 </t>
  </si>
  <si>
    <t>30,361 </t>
  </si>
  <si>
    <t>40,862 </t>
  </si>
  <si>
    <t>23,960 </t>
  </si>
  <si>
    <t>44,384 </t>
  </si>
  <si>
    <t>31,198 </t>
  </si>
  <si>
    <r>
      <rPr>
        <sz val="9"/>
        <color rgb="FF000000"/>
        <rFont val="맑은 고딕"/>
        <family val="3"/>
        <charset val="129"/>
      </rPr>
      <t>합</t>
    </r>
    <r>
      <rPr>
        <sz val="9"/>
        <color rgb="FF000000"/>
        <rFont val="Arial"/>
        <family val="2"/>
      </rPr>
      <t xml:space="preserve">  </t>
    </r>
    <r>
      <rPr>
        <sz val="9"/>
        <color rgb="FF000000"/>
        <rFont val="맑은 고딕"/>
        <family val="3"/>
        <charset val="129"/>
      </rPr>
      <t>계</t>
    </r>
  </si>
  <si>
    <t>31,749 </t>
  </si>
  <si>
    <r>
      <rPr>
        <sz val="9"/>
        <color theme="1"/>
        <rFont val="맑은 고딕"/>
        <family val="3"/>
        <charset val="129"/>
      </rPr>
      <t>반기기준</t>
    </r>
  </si>
  <si>
    <r>
      <t xml:space="preserve">To be </t>
    </r>
    <r>
      <rPr>
        <sz val="9"/>
        <color theme="1"/>
        <rFont val="맑은 고딕"/>
        <family val="3"/>
        <charset val="129"/>
      </rPr>
      <t>손익계산서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종업원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급여</t>
    </r>
    <phoneticPr fontId="2" type="noConversion"/>
  </si>
  <si>
    <r>
      <rPr>
        <sz val="9"/>
        <color theme="1"/>
        <rFont val="맑은 고딕"/>
        <family val="3"/>
        <charset val="129"/>
      </rPr>
      <t>보정액</t>
    </r>
    <phoneticPr fontId="2" type="noConversion"/>
  </si>
  <si>
    <r>
      <rPr>
        <b/>
        <sz val="9"/>
        <color theme="0"/>
        <rFont val="맑은 고딕"/>
        <family val="3"/>
        <charset val="129"/>
      </rPr>
      <t>비용의</t>
    </r>
    <r>
      <rPr>
        <b/>
        <sz val="9"/>
        <color theme="0"/>
        <rFont val="Arial"/>
        <family val="2"/>
      </rPr>
      <t xml:space="preserve"> </t>
    </r>
    <r>
      <rPr>
        <b/>
        <sz val="9"/>
        <color theme="0"/>
        <rFont val="맑은 고딕"/>
        <family val="3"/>
        <charset val="129"/>
      </rPr>
      <t>성격별</t>
    </r>
    <r>
      <rPr>
        <b/>
        <sz val="9"/>
        <color theme="0"/>
        <rFont val="Arial"/>
        <family val="2"/>
      </rPr>
      <t xml:space="preserve"> </t>
    </r>
    <r>
      <rPr>
        <b/>
        <sz val="9"/>
        <color theme="0"/>
        <rFont val="맑은 고딕"/>
        <family val="3"/>
        <charset val="129"/>
      </rPr>
      <t>분류</t>
    </r>
    <phoneticPr fontId="2" type="noConversion"/>
  </si>
  <si>
    <r>
      <t>(</t>
    </r>
    <r>
      <rPr>
        <sz val="9"/>
        <color rgb="FF000000"/>
        <rFont val="맑은 고딕"/>
        <family val="3"/>
        <charset val="129"/>
      </rPr>
      <t>단위</t>
    </r>
    <r>
      <rPr>
        <sz val="9"/>
        <color rgb="FF000000"/>
        <rFont val="Arial"/>
        <family val="2"/>
      </rPr>
      <t xml:space="preserve"> : </t>
    </r>
    <r>
      <rPr>
        <sz val="9"/>
        <color rgb="FF000000"/>
        <rFont val="맑은 고딕"/>
        <family val="3"/>
        <charset val="129"/>
      </rPr>
      <t>천원</t>
    </r>
    <r>
      <rPr>
        <sz val="9"/>
        <color rgb="FF000000"/>
        <rFont val="Arial"/>
        <family val="2"/>
      </rPr>
      <t>)</t>
    </r>
    <phoneticPr fontId="2" type="noConversion"/>
  </si>
  <si>
    <r>
      <rPr>
        <sz val="9"/>
        <color rgb="FF000000"/>
        <rFont val="맑은 고딕"/>
        <family val="3"/>
        <charset val="129"/>
      </rPr>
      <t>구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분</t>
    </r>
  </si>
  <si>
    <r>
      <rPr>
        <sz val="9"/>
        <color rgb="FF000000"/>
        <rFont val="맑은 고딕"/>
        <family val="3"/>
        <charset val="129"/>
      </rPr>
      <t>재고자산의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변동</t>
    </r>
  </si>
  <si>
    <r>
      <rPr>
        <sz val="9"/>
        <color rgb="FF000000"/>
        <rFont val="맑은 고딕"/>
        <family val="3"/>
        <charset val="129"/>
      </rPr>
      <t>상품의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매입액</t>
    </r>
  </si>
  <si>
    <r>
      <rPr>
        <sz val="9"/>
        <color rgb="FF000000"/>
        <rFont val="맑은 고딕"/>
        <family val="3"/>
        <charset val="129"/>
      </rPr>
      <t>종업원급여</t>
    </r>
  </si>
  <si>
    <r>
      <rPr>
        <sz val="9"/>
        <color rgb="FF000000"/>
        <rFont val="맑은 고딕"/>
        <family val="3"/>
        <charset val="129"/>
      </rPr>
      <t>복리후생비</t>
    </r>
  </si>
  <si>
    <r>
      <rPr>
        <sz val="9"/>
        <color rgb="FF000000"/>
        <rFont val="맑은 고딕"/>
        <family val="3"/>
        <charset val="129"/>
      </rPr>
      <t>접대비</t>
    </r>
  </si>
  <si>
    <r>
      <rPr>
        <sz val="9"/>
        <color rgb="FF000000"/>
        <rFont val="맑은 고딕"/>
        <family val="3"/>
        <charset val="129"/>
      </rPr>
      <t>여비교통비</t>
    </r>
  </si>
  <si>
    <r>
      <rPr>
        <sz val="9"/>
        <color rgb="FF000000"/>
        <rFont val="맑은 고딕"/>
        <family val="3"/>
        <charset val="129"/>
      </rPr>
      <t>세금과공과</t>
    </r>
  </si>
  <si>
    <r>
      <rPr>
        <sz val="9"/>
        <color rgb="FF000000"/>
        <rFont val="맑은 고딕"/>
        <family val="3"/>
        <charset val="129"/>
      </rPr>
      <t>대손상각비</t>
    </r>
  </si>
  <si>
    <r>
      <rPr>
        <sz val="9"/>
        <color rgb="FF000000"/>
        <rFont val="맑은 고딕"/>
        <family val="3"/>
        <charset val="129"/>
      </rPr>
      <t>감가상각비</t>
    </r>
  </si>
  <si>
    <r>
      <rPr>
        <sz val="9"/>
        <color rgb="FF000000"/>
        <rFont val="맑은 고딕"/>
        <family val="3"/>
        <charset val="129"/>
      </rPr>
      <t>지급임차료</t>
    </r>
  </si>
  <si>
    <r>
      <rPr>
        <sz val="9"/>
        <color rgb="FF000000"/>
        <rFont val="맑은 고딕"/>
        <family val="3"/>
        <charset val="129"/>
      </rPr>
      <t>보험료</t>
    </r>
  </si>
  <si>
    <r>
      <rPr>
        <sz val="9"/>
        <color rgb="FF000000"/>
        <rFont val="맑은 고딕"/>
        <family val="3"/>
        <charset val="129"/>
      </rPr>
      <t>차량유지비</t>
    </r>
  </si>
  <si>
    <r>
      <rPr>
        <sz val="9"/>
        <color rgb="FF000000"/>
        <rFont val="맑은 고딕"/>
        <family val="3"/>
        <charset val="129"/>
      </rPr>
      <t>운반비</t>
    </r>
  </si>
  <si>
    <r>
      <rPr>
        <sz val="9"/>
        <color rgb="FF000000"/>
        <rFont val="맑은 고딕"/>
        <family val="3"/>
        <charset val="129"/>
      </rPr>
      <t>지급수수료</t>
    </r>
  </si>
  <si>
    <r>
      <rPr>
        <sz val="9"/>
        <color rgb="FF000000"/>
        <rFont val="맑은 고딕"/>
        <family val="3"/>
        <charset val="129"/>
      </rPr>
      <t>무형자산상각비</t>
    </r>
  </si>
  <si>
    <r>
      <rPr>
        <sz val="9"/>
        <color rgb="FF000000"/>
        <rFont val="맑은 고딕"/>
        <family val="3"/>
        <charset val="129"/>
      </rPr>
      <t>소모품비</t>
    </r>
  </si>
  <si>
    <r>
      <rPr>
        <sz val="9"/>
        <color rgb="FF000000"/>
        <rFont val="맑은 고딕"/>
        <family val="3"/>
        <charset val="129"/>
      </rPr>
      <t>위탁차량비</t>
    </r>
  </si>
  <si>
    <r>
      <rPr>
        <sz val="9"/>
        <color rgb="FF000000"/>
        <rFont val="맑은 고딕"/>
        <family val="3"/>
        <charset val="129"/>
      </rPr>
      <t>부품비</t>
    </r>
  </si>
  <si>
    <r>
      <rPr>
        <sz val="9"/>
        <color rgb="FF000000"/>
        <rFont val="맑은 고딕"/>
        <family val="3"/>
        <charset val="129"/>
      </rPr>
      <t>판매보증비</t>
    </r>
  </si>
  <si>
    <r>
      <rPr>
        <sz val="9"/>
        <color rgb="FF000000"/>
        <rFont val="맑은 고딕"/>
        <family val="3"/>
        <charset val="129"/>
      </rPr>
      <t>주식보상비용</t>
    </r>
  </si>
  <si>
    <r>
      <rPr>
        <sz val="9"/>
        <color rgb="FF000000"/>
        <rFont val="맑은 고딕"/>
        <family val="3"/>
        <charset val="129"/>
      </rPr>
      <t>차량매각원가</t>
    </r>
  </si>
  <si>
    <r>
      <rPr>
        <sz val="9"/>
        <color rgb="FF000000"/>
        <rFont val="맑은 고딕"/>
        <family val="3"/>
        <charset val="129"/>
      </rPr>
      <t>기타비용</t>
    </r>
  </si>
  <si>
    <r>
      <rPr>
        <sz val="9"/>
        <color rgb="FF000000"/>
        <rFont val="맑은 고딕"/>
        <family val="3"/>
        <charset val="129"/>
      </rPr>
      <t>합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계</t>
    </r>
  </si>
  <si>
    <r>
      <rPr>
        <b/>
        <sz val="9"/>
        <color theme="0"/>
        <rFont val="맑은 고딕"/>
        <family val="3"/>
        <charset val="129"/>
      </rPr>
      <t>판매비와</t>
    </r>
    <r>
      <rPr>
        <b/>
        <sz val="9"/>
        <color theme="0"/>
        <rFont val="Arial"/>
        <family val="2"/>
      </rPr>
      <t xml:space="preserve"> </t>
    </r>
    <r>
      <rPr>
        <b/>
        <sz val="9"/>
        <color theme="0"/>
        <rFont val="맑은 고딕"/>
        <family val="3"/>
        <charset val="129"/>
      </rPr>
      <t>관리비</t>
    </r>
    <phoneticPr fontId="2" type="noConversion"/>
  </si>
  <si>
    <r>
      <rPr>
        <sz val="9"/>
        <color rgb="FF000000"/>
        <rFont val="맑은 고딕"/>
        <family val="3"/>
        <charset val="129"/>
      </rPr>
      <t>급여</t>
    </r>
  </si>
  <si>
    <r>
      <rPr>
        <sz val="9"/>
        <color rgb="FF000000"/>
        <rFont val="맑은 고딕"/>
        <family val="3"/>
        <charset val="129"/>
      </rPr>
      <t>퇴직급여</t>
    </r>
  </si>
  <si>
    <r>
      <rPr>
        <sz val="9"/>
        <color rgb="FF000000"/>
        <rFont val="맑은 고딕"/>
        <family val="3"/>
        <charset val="129"/>
      </rPr>
      <t>광고선전비</t>
    </r>
  </si>
  <si>
    <t>주식보상비용</t>
    <phoneticPr fontId="2" type="noConversion"/>
  </si>
  <si>
    <r>
      <rPr>
        <b/>
        <sz val="9"/>
        <color theme="0"/>
        <rFont val="맑은 고딕"/>
        <family val="3"/>
        <charset val="129"/>
      </rPr>
      <t>판매비와</t>
    </r>
    <r>
      <rPr>
        <b/>
        <sz val="9"/>
        <color theme="0"/>
        <rFont val="Arial"/>
        <family val="2"/>
      </rPr>
      <t xml:space="preserve"> </t>
    </r>
    <r>
      <rPr>
        <b/>
        <sz val="9"/>
        <color theme="0"/>
        <rFont val="맑은 고딕"/>
        <family val="3"/>
        <charset val="129"/>
      </rPr>
      <t>관리비</t>
    </r>
    <r>
      <rPr>
        <b/>
        <sz val="9"/>
        <color theme="0"/>
        <rFont val="Arial"/>
        <family val="2"/>
      </rPr>
      <t>(</t>
    </r>
    <r>
      <rPr>
        <b/>
        <sz val="9"/>
        <color theme="0"/>
        <rFont val="맑은 고딕"/>
        <family val="3"/>
        <charset val="129"/>
      </rPr>
      <t>성격별</t>
    </r>
    <r>
      <rPr>
        <b/>
        <sz val="9"/>
        <color theme="0"/>
        <rFont val="Arial"/>
        <family val="2"/>
      </rPr>
      <t xml:space="preserve"> </t>
    </r>
    <r>
      <rPr>
        <b/>
        <sz val="9"/>
        <color theme="0"/>
        <rFont val="맑은 고딕"/>
        <family val="3"/>
        <charset val="129"/>
      </rPr>
      <t>분류</t>
    </r>
    <r>
      <rPr>
        <b/>
        <sz val="9"/>
        <color theme="0"/>
        <rFont val="Arial"/>
        <family val="2"/>
      </rPr>
      <t>)</t>
    </r>
    <phoneticPr fontId="2" type="noConversion"/>
  </si>
  <si>
    <r>
      <rPr>
        <b/>
        <sz val="9"/>
        <color theme="0"/>
        <rFont val="맑은 고딕"/>
        <family val="3"/>
        <charset val="129"/>
      </rPr>
      <t>매출원가</t>
    </r>
    <r>
      <rPr>
        <b/>
        <sz val="9"/>
        <color theme="0"/>
        <rFont val="Arial"/>
        <family val="2"/>
      </rPr>
      <t>(</t>
    </r>
    <r>
      <rPr>
        <b/>
        <sz val="9"/>
        <color theme="0"/>
        <rFont val="맑은 고딕"/>
        <family val="3"/>
        <charset val="129"/>
      </rPr>
      <t>성격별</t>
    </r>
    <r>
      <rPr>
        <b/>
        <sz val="9"/>
        <color theme="0"/>
        <rFont val="Arial"/>
        <family val="2"/>
      </rPr>
      <t xml:space="preserve"> </t>
    </r>
    <r>
      <rPr>
        <b/>
        <sz val="9"/>
        <color theme="0"/>
        <rFont val="맑은 고딕"/>
        <family val="3"/>
        <charset val="129"/>
      </rPr>
      <t>분류</t>
    </r>
    <r>
      <rPr>
        <b/>
        <sz val="9"/>
        <color theme="0"/>
        <rFont val="Arial"/>
        <family val="2"/>
      </rPr>
      <t>)</t>
    </r>
    <phoneticPr fontId="2" type="noConversion"/>
  </si>
  <si>
    <r>
      <t>Dart_</t>
    </r>
    <r>
      <rPr>
        <b/>
        <sz val="11"/>
        <color theme="7"/>
        <rFont val="Arial"/>
        <family val="2"/>
      </rPr>
      <t>Sales</t>
    </r>
    <phoneticPr fontId="2" type="noConversion"/>
  </si>
  <si>
    <r>
      <t>(</t>
    </r>
    <r>
      <rPr>
        <sz val="9"/>
        <color rgb="FF000000"/>
        <rFont val="맑은 고딕"/>
        <family val="3"/>
        <charset val="129"/>
      </rPr>
      <t>단위</t>
    </r>
    <r>
      <rPr>
        <sz val="9"/>
        <color rgb="FF000000"/>
        <rFont val="Arial"/>
        <family val="2"/>
      </rPr>
      <t xml:space="preserve"> : </t>
    </r>
    <r>
      <rPr>
        <sz val="9"/>
        <color rgb="FF000000"/>
        <rFont val="맑은 고딕"/>
        <family val="3"/>
        <charset val="129"/>
      </rPr>
      <t>백만원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</si>
  <si>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맑은 고딕"/>
        <family val="3"/>
        <charset val="129"/>
      </rPr>
      <t>매출유형</t>
    </r>
  </si>
  <si>
    <r>
      <rPr>
        <sz val="9"/>
        <color rgb="FF000000"/>
        <rFont val="맑은 고딕"/>
        <family val="3"/>
        <charset val="129"/>
      </rPr>
      <t>내용</t>
    </r>
  </si>
  <si>
    <r>
      <rPr>
        <sz val="9"/>
        <color rgb="FF000000"/>
        <rFont val="맑은 고딕"/>
        <family val="3"/>
        <charset val="129"/>
      </rPr>
      <t>판매경로</t>
    </r>
  </si>
  <si>
    <r>
      <rPr>
        <sz val="9"/>
        <color rgb="FF000000"/>
        <rFont val="맑은 고딕"/>
        <family val="3"/>
        <charset val="129"/>
      </rPr>
      <t>중고차사업부문</t>
    </r>
  </si>
  <si>
    <r>
      <rPr>
        <sz val="9"/>
        <color rgb="FF000000"/>
        <rFont val="맑은 고딕"/>
        <family val="3"/>
        <charset val="129"/>
      </rPr>
      <t>상품매출</t>
    </r>
  </si>
  <si>
    <r>
      <rPr>
        <sz val="9"/>
        <color rgb="FF000000"/>
        <rFont val="맑은 고딕"/>
        <family val="3"/>
        <charset val="129"/>
      </rPr>
      <t>차량판매</t>
    </r>
  </si>
  <si>
    <r>
      <rPr>
        <sz val="9"/>
        <color rgb="FF000000"/>
        <rFont val="맑은 고딕"/>
        <family val="3"/>
        <charset val="129"/>
      </rPr>
      <t>이커머스</t>
    </r>
  </si>
  <si>
    <r>
      <rPr>
        <sz val="9"/>
        <color rgb="FF000000"/>
        <rFont val="맑은 고딕"/>
        <family val="3"/>
        <charset val="129"/>
      </rPr>
      <t>지점내방</t>
    </r>
  </si>
  <si>
    <r>
      <rPr>
        <sz val="9"/>
        <color rgb="FF000000"/>
        <rFont val="맑은 고딕"/>
        <family val="3"/>
        <charset val="129"/>
      </rPr>
      <t>소계</t>
    </r>
  </si>
  <si>
    <r>
      <rPr>
        <sz val="9"/>
        <color rgb="FF000000"/>
        <rFont val="맑은 고딕"/>
        <family val="3"/>
        <charset val="129"/>
      </rPr>
      <t>용역매출</t>
    </r>
  </si>
  <si>
    <r>
      <rPr>
        <sz val="9"/>
        <color rgb="FF000000"/>
        <rFont val="맑은 고딕"/>
        <family val="3"/>
        <charset val="129"/>
      </rPr>
      <t>보증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및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금융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수수료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등</t>
    </r>
  </si>
  <si>
    <r>
      <rPr>
        <sz val="9"/>
        <color rgb="FF000000"/>
        <rFont val="맑은 고딕"/>
        <family val="3"/>
        <charset val="129"/>
      </rPr>
      <t>기타매출</t>
    </r>
  </si>
  <si>
    <r>
      <rPr>
        <b/>
        <sz val="9"/>
        <color rgb="FF000000"/>
        <rFont val="맑은 고딕"/>
        <family val="3"/>
        <charset val="129"/>
      </rPr>
      <t>중고차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맑은 고딕"/>
        <family val="3"/>
        <charset val="129"/>
      </rPr>
      <t>사업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맑은 고딕"/>
        <family val="3"/>
        <charset val="129"/>
      </rPr>
      <t>부문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맑은 고딕"/>
        <family val="3"/>
        <charset val="129"/>
      </rPr>
      <t>소계</t>
    </r>
  </si>
  <si>
    <r>
      <rPr>
        <sz val="9"/>
        <color rgb="FF000000"/>
        <rFont val="맑은 고딕"/>
        <family val="3"/>
        <charset val="129"/>
      </rPr>
      <t>렌터카사업부문</t>
    </r>
  </si>
  <si>
    <r>
      <rPr>
        <sz val="9"/>
        <color rgb="FF000000"/>
        <rFont val="맑은 고딕"/>
        <family val="3"/>
        <charset val="129"/>
      </rPr>
      <t>반납차량매각</t>
    </r>
  </si>
  <si>
    <r>
      <rPr>
        <sz val="9"/>
        <color rgb="FF000000"/>
        <rFont val="맑은 고딕"/>
        <family val="3"/>
        <charset val="129"/>
      </rPr>
      <t>렌터카매각매출</t>
    </r>
  </si>
  <si>
    <r>
      <rPr>
        <sz val="9"/>
        <color rgb="FF000000"/>
        <rFont val="맑은 고딕"/>
        <family val="3"/>
        <charset val="129"/>
      </rPr>
      <t>차량렌트</t>
    </r>
  </si>
  <si>
    <r>
      <rPr>
        <sz val="9"/>
        <color rgb="FF000000"/>
        <rFont val="맑은 고딕"/>
        <family val="3"/>
        <charset val="129"/>
      </rPr>
      <t>대여매출</t>
    </r>
  </si>
  <si>
    <r>
      <rPr>
        <b/>
        <sz val="9"/>
        <color rgb="FF000000"/>
        <rFont val="맑은 고딕"/>
        <family val="3"/>
        <charset val="129"/>
      </rPr>
      <t>렌터카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맑은 고딕"/>
        <family val="3"/>
        <charset val="129"/>
      </rPr>
      <t>사업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맑은 고딕"/>
        <family val="3"/>
        <charset val="129"/>
      </rPr>
      <t>부문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맑은 고딕"/>
        <family val="3"/>
        <charset val="129"/>
      </rPr>
      <t>소계</t>
    </r>
  </si>
  <si>
    <r>
      <t>Dart_</t>
    </r>
    <r>
      <rPr>
        <b/>
        <sz val="11"/>
        <color theme="7"/>
        <rFont val="맑은 고딕"/>
        <family val="3"/>
        <charset val="129"/>
      </rPr>
      <t>중고차</t>
    </r>
    <r>
      <rPr>
        <b/>
        <sz val="11"/>
        <color theme="7"/>
        <rFont val="Arial"/>
        <family val="2"/>
      </rPr>
      <t xml:space="preserve"> Sales</t>
    </r>
    <phoneticPr fontId="2" type="noConversion"/>
  </si>
  <si>
    <t>Dart_Sales raw</t>
    <phoneticPr fontId="2" type="noConversion"/>
  </si>
  <si>
    <r>
      <rPr>
        <b/>
        <sz val="9"/>
        <color rgb="FF000000"/>
        <rFont val="맑은 고딕"/>
        <family val="3"/>
        <charset val="129"/>
      </rPr>
      <t>차종별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맑은 고딕"/>
        <family val="3"/>
        <charset val="129"/>
      </rPr>
      <t>매출</t>
    </r>
    <phoneticPr fontId="2" type="noConversion"/>
  </si>
  <si>
    <r>
      <rPr>
        <b/>
        <sz val="9"/>
        <color rgb="FF000000"/>
        <rFont val="맑은 고딕"/>
        <family val="3"/>
        <charset val="129"/>
      </rPr>
      <t>채널별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맑은 고딕"/>
        <family val="3"/>
        <charset val="129"/>
      </rPr>
      <t>매출</t>
    </r>
    <phoneticPr fontId="2" type="noConversion"/>
  </si>
  <si>
    <r>
      <rPr>
        <b/>
        <sz val="9"/>
        <color rgb="FF000000"/>
        <rFont val="맑은 고딕"/>
        <family val="3"/>
        <charset val="129"/>
      </rPr>
      <t>차종별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맑은 고딕"/>
        <family val="3"/>
        <charset val="129"/>
      </rPr>
      <t>평균</t>
    </r>
    <r>
      <rPr>
        <b/>
        <sz val="9"/>
        <color rgb="FF000000"/>
        <rFont val="맑은 고딕"/>
        <family val="3"/>
        <charset val="129"/>
      </rPr>
      <t>단가</t>
    </r>
    <phoneticPr fontId="2" type="noConversion"/>
  </si>
  <si>
    <r>
      <rPr>
        <sz val="9"/>
        <color rgb="FF000000"/>
        <rFont val="맑은 고딕"/>
        <family val="3"/>
        <charset val="129"/>
      </rPr>
      <t>단위</t>
    </r>
    <r>
      <rPr>
        <sz val="9"/>
        <color rgb="FF000000"/>
        <rFont val="Arial"/>
        <family val="2"/>
      </rPr>
      <t xml:space="preserve"> : </t>
    </r>
    <r>
      <rPr>
        <sz val="9"/>
        <color rgb="FF000000"/>
        <rFont val="맑은 고딕"/>
        <family val="3"/>
        <charset val="129"/>
      </rPr>
      <t>백만원</t>
    </r>
    <phoneticPr fontId="2" type="noConversion"/>
  </si>
  <si>
    <t>단위 : 백만원</t>
    <phoneticPr fontId="2" type="noConversion"/>
  </si>
  <si>
    <r>
      <rPr>
        <b/>
        <sz val="9"/>
        <color rgb="FF000000"/>
        <rFont val="맑은 고딕"/>
        <family val="3"/>
        <charset val="129"/>
      </rPr>
      <t>채널별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맑은 고딕"/>
        <family val="3"/>
        <charset val="129"/>
      </rPr>
      <t>판매대수</t>
    </r>
    <phoneticPr fontId="2" type="noConversion"/>
  </si>
  <si>
    <t>단위 : 대</t>
    <phoneticPr fontId="2" type="noConversion"/>
  </si>
  <si>
    <r>
      <rPr>
        <b/>
        <sz val="9"/>
        <color rgb="FF000000"/>
        <rFont val="맑은 고딕"/>
        <family val="3"/>
        <charset val="129"/>
      </rPr>
      <t>채널별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맑은 고딕"/>
        <family val="3"/>
        <charset val="129"/>
      </rPr>
      <t>판매단가</t>
    </r>
    <phoneticPr fontId="2" type="noConversion"/>
  </si>
  <si>
    <r>
      <rPr>
        <sz val="9"/>
        <color rgb="FF000000"/>
        <rFont val="맑은 고딕"/>
        <family val="3"/>
        <charset val="129"/>
      </rPr>
      <t>판매경로</t>
    </r>
    <phoneticPr fontId="2" type="noConversion"/>
  </si>
  <si>
    <t>평균단가</t>
    <phoneticPr fontId="2" type="noConversion"/>
  </si>
  <si>
    <r>
      <t xml:space="preserve">Sales </t>
    </r>
    <r>
      <rPr>
        <b/>
        <sz val="9"/>
        <color theme="0"/>
        <rFont val="맑은 고딕"/>
        <family val="3"/>
        <charset val="129"/>
      </rPr>
      <t>재분류</t>
    </r>
    <phoneticPr fontId="2" type="noConversion"/>
  </si>
  <si>
    <r>
      <rPr>
        <b/>
        <sz val="9"/>
        <color theme="1"/>
        <rFont val="맑은 고딕"/>
        <family val="3"/>
        <charset val="129"/>
      </rPr>
      <t>이커머스</t>
    </r>
    <r>
      <rPr>
        <b/>
        <sz val="9"/>
        <color theme="1"/>
        <rFont val="Arial"/>
        <family val="2"/>
      </rPr>
      <t>-</t>
    </r>
    <r>
      <rPr>
        <b/>
        <sz val="9"/>
        <color theme="1"/>
        <rFont val="맑은 고딕"/>
        <family val="3"/>
        <charset val="129"/>
      </rPr>
      <t>차종별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매출</t>
    </r>
    <r>
      <rPr>
        <b/>
        <sz val="9"/>
        <color theme="1"/>
        <rFont val="Arial"/>
        <family val="2"/>
      </rPr>
      <t>(</t>
    </r>
    <r>
      <rPr>
        <b/>
        <sz val="9"/>
        <color theme="1"/>
        <rFont val="맑은 고딕"/>
        <family val="3"/>
        <charset val="129"/>
      </rPr>
      <t>채널별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매출</t>
    </r>
    <r>
      <rPr>
        <b/>
        <sz val="9"/>
        <color theme="1"/>
        <rFont val="Arial"/>
        <family val="2"/>
      </rPr>
      <t>)</t>
    </r>
    <phoneticPr fontId="2" type="noConversion"/>
  </si>
  <si>
    <r>
      <rPr>
        <b/>
        <sz val="9"/>
        <color theme="1"/>
        <rFont val="맑은 고딕"/>
        <family val="3"/>
        <charset val="129"/>
      </rPr>
      <t>지점내방</t>
    </r>
    <r>
      <rPr>
        <b/>
        <sz val="9"/>
        <color theme="1"/>
        <rFont val="Arial"/>
        <family val="2"/>
      </rPr>
      <t>-</t>
    </r>
    <r>
      <rPr>
        <b/>
        <sz val="9"/>
        <color theme="1"/>
        <rFont val="맑은 고딕"/>
        <family val="3"/>
        <charset val="129"/>
      </rPr>
      <t>차종별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매출</t>
    </r>
    <r>
      <rPr>
        <b/>
        <sz val="9"/>
        <color theme="1"/>
        <rFont val="Arial"/>
        <family val="2"/>
      </rPr>
      <t>(</t>
    </r>
    <r>
      <rPr>
        <b/>
        <sz val="9"/>
        <color theme="1"/>
        <rFont val="맑은 고딕"/>
        <family val="3"/>
        <charset val="129"/>
      </rPr>
      <t>채널별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매출</t>
    </r>
    <r>
      <rPr>
        <b/>
        <sz val="9"/>
        <color theme="1"/>
        <rFont val="Arial"/>
        <family val="2"/>
      </rPr>
      <t>)</t>
    </r>
    <phoneticPr fontId="2" type="noConversion"/>
  </si>
  <si>
    <r>
      <rPr>
        <b/>
        <sz val="9"/>
        <color rgb="FF000000"/>
        <rFont val="맑은 고딕"/>
        <family val="3"/>
        <charset val="129"/>
      </rPr>
      <t>단위</t>
    </r>
    <r>
      <rPr>
        <b/>
        <sz val="9"/>
        <color rgb="FF000000"/>
        <rFont val="Arial"/>
        <family val="2"/>
      </rPr>
      <t xml:space="preserve"> : </t>
    </r>
    <r>
      <rPr>
        <b/>
        <sz val="9"/>
        <color rgb="FF000000"/>
        <rFont val="맑은 고딕"/>
        <family val="3"/>
        <charset val="129"/>
      </rPr>
      <t>백만원</t>
    </r>
  </si>
  <si>
    <r>
      <rPr>
        <sz val="9"/>
        <color rgb="FF000000"/>
        <rFont val="맑은 고딕"/>
        <family val="3"/>
        <charset val="129"/>
      </rPr>
      <t>지점내방</t>
    </r>
    <phoneticPr fontId="2" type="noConversion"/>
  </si>
  <si>
    <r>
      <rPr>
        <b/>
        <sz val="9"/>
        <color theme="1"/>
        <rFont val="맑은 고딕"/>
        <family val="3"/>
        <charset val="129"/>
      </rPr>
      <t>이커머스</t>
    </r>
    <r>
      <rPr>
        <b/>
        <sz val="9"/>
        <color theme="1"/>
        <rFont val="Arial"/>
        <family val="2"/>
      </rPr>
      <t>-</t>
    </r>
    <r>
      <rPr>
        <b/>
        <sz val="9"/>
        <color theme="1"/>
        <rFont val="맑은 고딕"/>
        <family val="3"/>
        <charset val="129"/>
      </rPr>
      <t>차종별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판매대수</t>
    </r>
    <phoneticPr fontId="2" type="noConversion"/>
  </si>
  <si>
    <r>
      <rPr>
        <b/>
        <sz val="9"/>
        <color theme="1"/>
        <rFont val="맑은 고딕"/>
        <family val="3"/>
        <charset val="129"/>
      </rPr>
      <t>지점내방</t>
    </r>
    <r>
      <rPr>
        <b/>
        <sz val="9"/>
        <color theme="1"/>
        <rFont val="Arial"/>
        <family val="2"/>
      </rPr>
      <t>-</t>
    </r>
    <r>
      <rPr>
        <b/>
        <sz val="9"/>
        <color theme="1"/>
        <rFont val="맑은 고딕"/>
        <family val="3"/>
        <charset val="129"/>
      </rPr>
      <t>차종별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판매대수</t>
    </r>
    <phoneticPr fontId="2" type="noConversion"/>
  </si>
  <si>
    <r>
      <rPr>
        <b/>
        <sz val="9"/>
        <color rgb="FF000000"/>
        <rFont val="맑은 고딕"/>
        <family val="3"/>
        <charset val="129"/>
      </rPr>
      <t>단위</t>
    </r>
    <r>
      <rPr>
        <b/>
        <sz val="9"/>
        <color rgb="FF000000"/>
        <rFont val="Arial"/>
        <family val="2"/>
      </rPr>
      <t xml:space="preserve"> : </t>
    </r>
    <r>
      <rPr>
        <b/>
        <sz val="9"/>
        <color rgb="FF000000"/>
        <rFont val="맑은 고딕"/>
        <family val="3"/>
        <charset val="129"/>
      </rPr>
      <t>대</t>
    </r>
    <phoneticPr fontId="2" type="noConversion"/>
  </si>
  <si>
    <r>
      <rPr>
        <b/>
        <sz val="9"/>
        <color rgb="FF000000"/>
        <rFont val="맑은 고딕"/>
        <family val="3"/>
        <charset val="129"/>
      </rPr>
      <t>차종별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맑은 고딕"/>
        <family val="3"/>
        <charset val="129"/>
      </rPr>
      <t>평균단가</t>
    </r>
    <r>
      <rPr>
        <b/>
        <sz val="9"/>
        <color rgb="FF000000"/>
        <rFont val="Arial"/>
        <family val="2"/>
      </rPr>
      <t>_</t>
    </r>
    <r>
      <rPr>
        <b/>
        <sz val="9"/>
        <color rgb="FF000000"/>
        <rFont val="맑은 고딕"/>
        <family val="3"/>
        <charset val="129"/>
      </rPr>
      <t>이커머스</t>
    </r>
    <phoneticPr fontId="2" type="noConversion"/>
  </si>
  <si>
    <r>
      <rPr>
        <b/>
        <sz val="9"/>
        <color rgb="FF000000"/>
        <rFont val="맑은 고딕"/>
        <family val="3"/>
        <charset val="129"/>
      </rPr>
      <t>차종별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맑은 고딕"/>
        <family val="3"/>
        <charset val="129"/>
      </rPr>
      <t>평균단가</t>
    </r>
    <r>
      <rPr>
        <b/>
        <sz val="9"/>
        <color rgb="FF000000"/>
        <rFont val="Arial"/>
        <family val="2"/>
      </rPr>
      <t>_</t>
    </r>
    <r>
      <rPr>
        <b/>
        <sz val="9"/>
        <color rgb="FF000000"/>
        <rFont val="맑은 고딕"/>
        <family val="3"/>
        <charset val="129"/>
      </rPr>
      <t>지점내방</t>
    </r>
    <phoneticPr fontId="2" type="noConversion"/>
  </si>
  <si>
    <r>
      <rPr>
        <b/>
        <sz val="9"/>
        <color rgb="FF000000"/>
        <rFont val="맑은 고딕"/>
        <family val="3"/>
        <charset val="129"/>
      </rPr>
      <t>단위</t>
    </r>
    <r>
      <rPr>
        <b/>
        <sz val="9"/>
        <color rgb="FF000000"/>
        <rFont val="Arial"/>
        <family val="2"/>
      </rPr>
      <t xml:space="preserve"> : </t>
    </r>
    <r>
      <rPr>
        <b/>
        <sz val="9"/>
        <color rgb="FF000000"/>
        <rFont val="맑은 고딕"/>
        <family val="3"/>
        <charset val="129"/>
      </rPr>
      <t>천원</t>
    </r>
    <phoneticPr fontId="2" type="noConversion"/>
  </si>
  <si>
    <t>지점내방</t>
    <phoneticPr fontId="2" type="noConversion"/>
  </si>
  <si>
    <t>Dart_Captures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</si>
</sst>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176" formatCode="#,##0_);[Red]\(#,##0\)"/>
    <numFmt numFmtId="177" formatCode="0.0%"/>
    <numFmt numFmtId="178" formatCode="_-* #,##0.0_-;\-* #,##0.0_-;_-* &quot;-&quot;_-;_-@_-"/>
    <numFmt numFmtId="179" formatCode="_-* #,##0.000_-;\-* #,##0.000_-;_-* &quot;-&quot;_-;_-@_-"/>
    <numFmt numFmtId="180" formatCode="_-* #,##0.0000_-;\-* #,##0.0000_-;_-* &quot;-&quot;_-;_-@_-"/>
    <numFmt numFmtId="181" formatCode="_(* #,##0_);_(* \(#,##0\);_(* &quot;-&quot;_);@_)"/>
    <numFmt numFmtId="182" formatCode="_([$€-2]* #,##0.00_);_([$€-2]* \(#,##0.00\);_([$€-2]* &quot;-&quot;??_)"/>
    <numFmt numFmtId="183" formatCode="_(* #,##0_);_(* \(#,##0\);_(* &quot;-&quot;_);_(@_)"/>
    <numFmt numFmtId="184" formatCode="_-* #,##0.00_-;\-* #,##0.00_-;_-* &quot;-&quot;_-;_-@_-"/>
    <numFmt numFmtId="185" formatCode="#,##0_);\(#,##0\)"/>
  </numFmts>
  <fonts count="66" x14ac:knownFonts="1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sz val="9"/>
      <color theme="1"/>
      <name val="맑은 고딕"/>
      <family val="3"/>
      <charset val="129"/>
      <scheme val="major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theme="0"/>
      <name val="맑은 고딕"/>
      <family val="3"/>
      <charset val="129"/>
    </font>
    <font>
      <sz val="9"/>
      <color rgb="FF000000"/>
      <name val="Arial"/>
      <family val="2"/>
    </font>
    <font>
      <sz val="9"/>
      <color rgb="FF000000"/>
      <name val="맑은 고딕"/>
      <family val="3"/>
      <charset val="129"/>
    </font>
    <font>
      <b/>
      <sz val="9"/>
      <color theme="1"/>
      <name val="Arial"/>
      <family val="2"/>
    </font>
    <font>
      <b/>
      <sz val="11"/>
      <color theme="7"/>
      <name val="Arial"/>
      <family val="2"/>
    </font>
    <font>
      <b/>
      <sz val="9"/>
      <color theme="0"/>
      <name val="Arial"/>
      <family val="3"/>
      <charset val="129"/>
    </font>
    <font>
      <b/>
      <sz val="9"/>
      <color rgb="FF000000"/>
      <name val="Arial"/>
      <family val="2"/>
    </font>
    <font>
      <b/>
      <sz val="9"/>
      <color rgb="FF000000"/>
      <name val="맑은 고딕"/>
      <family val="3"/>
      <charset val="129"/>
    </font>
    <font>
      <b/>
      <sz val="9"/>
      <color rgb="FF000000"/>
      <name val="Arial"/>
      <family val="3"/>
      <charset val="129"/>
    </font>
    <font>
      <b/>
      <sz val="9"/>
      <color theme="1"/>
      <name val="맑은 고딕"/>
      <family val="3"/>
      <charset val="129"/>
    </font>
    <font>
      <i/>
      <sz val="9"/>
      <color theme="0" tint="-0.499984740745262"/>
      <name val="Arial"/>
      <family val="2"/>
    </font>
    <font>
      <i/>
      <sz val="9"/>
      <color theme="8" tint="-0.249977111117893"/>
      <name val="맑은 고딕"/>
      <family val="3"/>
      <charset val="129"/>
    </font>
    <font>
      <i/>
      <sz val="9"/>
      <color theme="8" tint="-0.249977111117893"/>
      <name val="Arial"/>
      <family val="2"/>
    </font>
    <font>
      <b/>
      <sz val="11"/>
      <color theme="7"/>
      <name val="맑은 고딕"/>
      <family val="3"/>
      <charset val="129"/>
    </font>
    <font>
      <b/>
      <sz val="9"/>
      <color theme="0"/>
      <name val="맑은 고딕"/>
      <family val="3"/>
      <charset val="129"/>
      <scheme val="major"/>
    </font>
    <font>
      <b/>
      <u/>
      <sz val="9"/>
      <color rgb="FF000000"/>
      <name val="Arial"/>
      <family val="2"/>
    </font>
    <font>
      <sz val="9"/>
      <color theme="1"/>
      <name val="Arial"/>
      <family val="3"/>
      <charset val="129"/>
    </font>
    <font>
      <sz val="9"/>
      <color theme="1"/>
      <name val="맑은 고딕"/>
      <family val="3"/>
      <charset val="129"/>
    </font>
    <font>
      <i/>
      <sz val="9"/>
      <color theme="1"/>
      <name val="Arial"/>
      <family val="2"/>
    </font>
    <font>
      <i/>
      <sz val="9"/>
      <color theme="0" tint="-0.499984740745262"/>
      <name val="맑은 고딕"/>
      <family val="3"/>
      <charset val="129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9"/>
      <color theme="1"/>
      <name val="돋움"/>
      <family val="3"/>
      <charset val="129"/>
    </font>
    <font>
      <i/>
      <sz val="9"/>
      <color theme="1"/>
      <name val="맑은 고딕"/>
      <family val="3"/>
      <charset val="129"/>
    </font>
    <font>
      <i/>
      <sz val="9"/>
      <color theme="0" tint="-0.499984740745262"/>
      <name val="맑은 고딕"/>
      <family val="3"/>
      <charset val="129"/>
    </font>
    <font>
      <sz val="9"/>
      <color rgb="FF00B0F0"/>
      <name val="Arial"/>
      <family val="2"/>
    </font>
    <font>
      <b/>
      <i/>
      <sz val="9"/>
      <color theme="1"/>
      <name val="Arial"/>
      <family val="2"/>
    </font>
    <font>
      <b/>
      <i/>
      <sz val="9"/>
      <color theme="0"/>
      <name val="Arial"/>
      <family val="2"/>
    </font>
    <font>
      <u/>
      <sz val="9"/>
      <color theme="1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2" tint="-0.249977111117893"/>
      <name val="Arial"/>
      <family val="2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9"/>
      <color theme="0" tint="-0.499984740745262"/>
      <name val="Arial"/>
      <family val="2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sz val="12"/>
      <name val="Calibri"/>
      <family val="2"/>
    </font>
    <font>
      <sz val="11"/>
      <name val="돋움"/>
      <family val="3"/>
      <charset val="129"/>
    </font>
    <font>
      <b/>
      <sz val="9"/>
      <color theme="4" tint="-0.249977111117893"/>
      <name val="Arial"/>
      <family val="2"/>
    </font>
    <font>
      <b/>
      <sz val="9"/>
      <color theme="3"/>
      <name val="맑은 고딕"/>
      <family val="2"/>
      <scheme val="minor"/>
    </font>
    <font>
      <b/>
      <sz val="9"/>
      <color rgb="FF0070C0"/>
      <name val="Arial"/>
      <family val="2"/>
    </font>
    <font>
      <sz val="11"/>
      <color theme="1"/>
      <name val="맑은 고딕"/>
      <family val="3"/>
      <charset val="129"/>
      <scheme val="minor"/>
    </font>
    <font>
      <b/>
      <sz val="9"/>
      <color rgb="FFFF0000"/>
      <name val="Arial"/>
      <family val="2"/>
    </font>
    <font>
      <i/>
      <sz val="9"/>
      <color theme="1"/>
      <name val="맑은 고딕"/>
      <family val="3"/>
      <charset val="129"/>
      <scheme val="major"/>
    </font>
    <font>
      <b/>
      <i/>
      <sz val="9"/>
      <color theme="0" tint="-0.499984740745262"/>
      <name val="Arial"/>
      <family val="2"/>
    </font>
    <font>
      <b/>
      <sz val="9"/>
      <color theme="7"/>
      <name val="Arial"/>
      <family val="2"/>
    </font>
    <font>
      <sz val="9"/>
      <color rgb="FF000000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inor"/>
    </font>
    <font>
      <i/>
      <sz val="9"/>
      <color theme="7" tint="-0.249977111117893"/>
      <name val="Arial"/>
      <family val="2"/>
    </font>
    <font>
      <i/>
      <sz val="9"/>
      <color theme="7" tint="-0.249977111117893"/>
      <name val="맑은 고딕"/>
      <family val="3"/>
      <charset val="129"/>
    </font>
    <font>
      <sz val="9"/>
      <color theme="7" tint="-0.249977111117893"/>
      <name val="Arial"/>
      <family val="2"/>
    </font>
    <font>
      <sz val="9"/>
      <color theme="7"/>
      <name val="Arial"/>
      <family val="2"/>
    </font>
    <font>
      <i/>
      <sz val="9"/>
      <color theme="0" tint="-0.499984740745262"/>
      <name val="맑은 고딕"/>
      <family val="3"/>
      <charset val="129"/>
      <scheme val="minor"/>
    </font>
    <font>
      <i/>
      <sz val="9"/>
      <color theme="0" tint="-0.499984740745262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ajor"/>
    </font>
    <font>
      <b/>
      <i/>
      <sz val="9"/>
      <color theme="7" tint="-0.499984740745262"/>
      <name val="Arial"/>
      <family val="2"/>
    </font>
    <font>
      <b/>
      <sz val="9"/>
      <color theme="7" tint="-0.499984740745262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darkGray"/>
    </fill>
    <fill>
      <patternFill patternType="darkGray">
        <bgColor theme="4" tint="0.79995117038483843"/>
      </patternFill>
    </fill>
    <fill>
      <patternFill patternType="solid">
        <fgColor theme="3" tint="0.79998168889431442"/>
        <bgColor indexed="64"/>
      </patternFill>
    </fill>
    <fill>
      <patternFill patternType="gray0625"/>
    </fill>
  </fills>
  <borders count="13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000000"/>
      </left>
      <right style="thin">
        <color rgb="FF808080"/>
      </right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/>
      <diagonal/>
    </border>
    <border>
      <left style="thin">
        <color rgb="FF808080"/>
      </left>
      <right style="thin">
        <color rgb="FF000000"/>
      </right>
      <top style="thin">
        <color rgb="FF000000"/>
      </top>
      <bottom/>
      <diagonal/>
    </border>
    <border>
      <left style="thin">
        <color rgb="FF808080"/>
      </left>
      <right style="thin">
        <color rgb="FF000000"/>
      </right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000000"/>
      </right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00000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808080"/>
      </right>
      <top/>
      <bottom style="thin">
        <color rgb="FF000000"/>
      </bottom>
      <diagonal/>
    </border>
    <border>
      <left style="thin">
        <color rgb="FF808080"/>
      </left>
      <right style="thin">
        <color rgb="FF000000"/>
      </right>
      <top/>
      <bottom style="thin">
        <color rgb="FF000000"/>
      </bottom>
      <diagonal/>
    </border>
    <border>
      <left style="thin">
        <color rgb="FF808080"/>
      </left>
      <right style="thin">
        <color rgb="FF808080"/>
      </right>
      <top/>
      <bottom style="thin">
        <color rgb="FF00000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/>
      <bottom/>
      <diagonal/>
    </border>
    <border>
      <left style="thin">
        <color rgb="FF000000"/>
      </left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/>
      <bottom/>
      <diagonal/>
    </border>
    <border>
      <left style="thin">
        <color rgb="FF000000"/>
      </left>
      <right/>
      <top style="thin">
        <color rgb="FF80808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80808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/>
      <right/>
      <top style="thin">
        <color rgb="FF808080"/>
      </top>
      <bottom style="thick">
        <color indexed="64"/>
      </bottom>
      <diagonal/>
    </border>
    <border>
      <left style="thin">
        <color rgb="FF808080"/>
      </left>
      <right/>
      <top style="thick">
        <color indexed="64"/>
      </top>
      <bottom style="thin">
        <color rgb="FF808080"/>
      </bottom>
      <diagonal/>
    </border>
    <border>
      <left style="thin">
        <color rgb="FF808080"/>
      </left>
      <right style="thick">
        <color indexed="64"/>
      </right>
      <top style="thick">
        <color indexed="64"/>
      </top>
      <bottom style="thin">
        <color rgb="FF808080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theme="3"/>
      </top>
      <bottom style="thin">
        <color indexed="64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medium">
        <color theme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theme="1"/>
      </top>
      <bottom style="thin">
        <color theme="1"/>
      </bottom>
      <diagonal/>
    </border>
    <border>
      <left style="hair">
        <color indexed="64"/>
      </left>
      <right style="hair">
        <color indexed="64"/>
      </right>
      <top style="thin">
        <color theme="1"/>
      </top>
      <bottom style="thin">
        <color theme="1"/>
      </bottom>
      <diagonal/>
    </border>
    <border>
      <left style="hair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hair">
        <color indexed="64"/>
      </right>
      <top style="thin">
        <color theme="1"/>
      </top>
      <bottom style="medium">
        <color theme="1"/>
      </bottom>
      <diagonal/>
    </border>
    <border>
      <left style="hair">
        <color indexed="64"/>
      </left>
      <right style="hair">
        <color indexed="64"/>
      </right>
      <top style="thin">
        <color theme="1"/>
      </top>
      <bottom style="medium">
        <color theme="1"/>
      </bottom>
      <diagonal/>
    </border>
    <border>
      <left style="hair">
        <color indexed="64"/>
      </left>
      <right style="thin">
        <color indexed="64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 style="hair">
        <color indexed="64"/>
      </right>
      <top style="medium">
        <color theme="1"/>
      </top>
      <bottom style="thin">
        <color theme="1"/>
      </bottom>
      <diagonal/>
    </border>
    <border>
      <left style="hair">
        <color indexed="64"/>
      </left>
      <right style="hair">
        <color indexed="64"/>
      </right>
      <top style="medium">
        <color theme="1"/>
      </top>
      <bottom style="thin">
        <color theme="1"/>
      </bottom>
      <diagonal/>
    </border>
    <border>
      <left style="hair">
        <color indexed="64"/>
      </left>
      <right style="thin">
        <color indexed="64"/>
      </right>
      <top style="medium">
        <color theme="1"/>
      </top>
      <bottom style="thin">
        <color theme="1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/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808080"/>
      </top>
      <bottom style="thin">
        <color rgb="FF000000"/>
      </bottom>
      <diagonal/>
    </border>
    <border>
      <left/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 style="medium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medium">
        <color auto="1"/>
      </bottom>
      <diagonal/>
    </border>
    <border>
      <left style="hair">
        <color indexed="64"/>
      </left>
      <right style="thin">
        <color indexed="64"/>
      </right>
      <top style="thin">
        <color auto="1"/>
      </top>
      <bottom style="medium">
        <color auto="1"/>
      </bottom>
      <diagonal/>
    </border>
    <border>
      <left style="hair">
        <color indexed="64"/>
      </left>
      <right style="thin">
        <color indexed="64"/>
      </right>
      <top/>
      <bottom style="thin">
        <color auto="1"/>
      </bottom>
      <diagonal/>
    </border>
    <border>
      <left style="hair">
        <color indexed="64"/>
      </left>
      <right style="thin">
        <color indexed="64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medium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auto="1"/>
      </bottom>
      <diagonal/>
    </border>
    <border>
      <left style="hair">
        <color indexed="64"/>
      </left>
      <right style="hair">
        <color indexed="64"/>
      </right>
      <top/>
      <bottom style="thin">
        <color auto="1"/>
      </bottom>
      <diagonal/>
    </border>
    <border>
      <left style="thin">
        <color theme="1"/>
      </left>
      <right style="hair">
        <color theme="1"/>
      </right>
      <top style="medium">
        <color theme="1"/>
      </top>
      <bottom style="thin">
        <color theme="1"/>
      </bottom>
      <diagonal/>
    </border>
    <border>
      <left style="hair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hair">
        <color theme="1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hair">
        <color theme="1"/>
      </right>
      <top style="thin">
        <color auto="1"/>
      </top>
      <bottom style="medium">
        <color auto="1"/>
      </bottom>
      <diagonal/>
    </border>
    <border>
      <left style="hair">
        <color theme="1"/>
      </left>
      <right style="thin">
        <color theme="1"/>
      </right>
      <top style="thin">
        <color auto="1"/>
      </top>
      <bottom style="medium">
        <color auto="1"/>
      </bottom>
      <diagonal/>
    </border>
    <border>
      <left style="thin">
        <color theme="1"/>
      </left>
      <right style="hair">
        <color theme="1"/>
      </right>
      <top/>
      <bottom/>
      <diagonal/>
    </border>
    <border>
      <left style="hair">
        <color theme="1"/>
      </left>
      <right style="thin">
        <color theme="1"/>
      </right>
      <top/>
      <bottom/>
      <diagonal/>
    </border>
    <border>
      <left style="thin">
        <color theme="1"/>
      </left>
      <right style="hair">
        <color theme="1"/>
      </right>
      <top/>
      <bottom style="medium">
        <color auto="1"/>
      </bottom>
      <diagonal/>
    </border>
    <border>
      <left style="hair">
        <color theme="1"/>
      </left>
      <right style="thin">
        <color theme="1"/>
      </right>
      <top/>
      <bottom style="medium">
        <color auto="1"/>
      </bottom>
      <diagonal/>
    </border>
    <border>
      <left style="thin">
        <color theme="1"/>
      </left>
      <right style="hair">
        <color theme="1"/>
      </right>
      <top/>
      <bottom style="thin">
        <color indexed="64"/>
      </bottom>
      <diagonal/>
    </border>
    <border>
      <left style="hair">
        <color theme="1"/>
      </left>
      <right style="thin">
        <color theme="1"/>
      </right>
      <top/>
      <bottom style="thin">
        <color auto="1"/>
      </bottom>
      <diagonal/>
    </border>
    <border>
      <left style="thin">
        <color theme="1"/>
      </left>
      <right style="hair">
        <color theme="1"/>
      </right>
      <top style="thin">
        <color indexed="64"/>
      </top>
      <bottom/>
      <diagonal/>
    </border>
    <border>
      <left style="hair">
        <color theme="1"/>
      </left>
      <right style="thin">
        <color theme="1"/>
      </right>
      <top style="thin">
        <color auto="1"/>
      </top>
      <bottom/>
      <diagonal/>
    </border>
    <border>
      <left style="hair">
        <color theme="1"/>
      </left>
      <right style="hair">
        <color theme="1"/>
      </right>
      <top style="medium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 style="thin">
        <color indexed="64"/>
      </top>
      <bottom/>
      <diagonal/>
    </border>
    <border>
      <left style="hair">
        <color theme="1"/>
      </left>
      <right style="hair">
        <color theme="1"/>
      </right>
      <top style="thin">
        <color auto="1"/>
      </top>
      <bottom style="medium">
        <color auto="1"/>
      </bottom>
      <diagonal/>
    </border>
    <border>
      <left style="hair">
        <color theme="1"/>
      </left>
      <right style="hair">
        <color theme="1"/>
      </right>
      <top/>
      <bottom style="thin">
        <color indexed="64"/>
      </bottom>
      <diagonal/>
    </border>
    <border>
      <left style="hair">
        <color theme="1"/>
      </left>
      <right style="hair">
        <color theme="1"/>
      </right>
      <top/>
      <bottom/>
      <diagonal/>
    </border>
    <border>
      <left style="hair">
        <color theme="1"/>
      </left>
      <right style="hair">
        <color theme="1"/>
      </right>
      <top/>
      <bottom style="medium">
        <color auto="1"/>
      </bottom>
      <diagonal/>
    </border>
    <border>
      <left style="medium">
        <color theme="7" tint="-0.499984740745262"/>
      </left>
      <right/>
      <top style="medium">
        <color theme="7" tint="-0.499984740745262"/>
      </top>
      <bottom style="medium">
        <color theme="7" tint="-0.499984740745262"/>
      </bottom>
      <diagonal/>
    </border>
    <border>
      <left/>
      <right/>
      <top style="medium">
        <color theme="7" tint="-0.499984740745262"/>
      </top>
      <bottom style="medium">
        <color theme="7" tint="-0.499984740745262"/>
      </bottom>
      <diagonal/>
    </border>
    <border>
      <left/>
      <right style="medium">
        <color theme="7" tint="-0.499984740745262"/>
      </right>
      <top style="medium">
        <color theme="7" tint="-0.499984740745262"/>
      </top>
      <bottom style="medium">
        <color theme="7" tint="-0.499984740745262"/>
      </bottom>
      <diagonal/>
    </border>
  </borders>
  <cellStyleXfs count="1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181" fontId="43" fillId="9" borderId="0" applyNumberFormat="0" applyFont="0" applyBorder="0" applyAlignment="0" applyProtection="0"/>
    <xf numFmtId="0" fontId="44" fillId="0" borderId="0"/>
    <xf numFmtId="0" fontId="45" fillId="0" borderId="0">
      <alignment vertical="center"/>
    </xf>
    <xf numFmtId="182" fontId="47" fillId="0" borderId="78" applyFill="0" applyProtection="0">
      <alignment horizontal="right" wrapText="1"/>
    </xf>
    <xf numFmtId="0" fontId="49" fillId="0" borderId="0">
      <alignment vertical="center"/>
    </xf>
  </cellStyleXfs>
  <cellXfs count="730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3" borderId="0" xfId="0" applyFont="1" applyFill="1">
      <alignment vertical="center"/>
    </xf>
    <xf numFmtId="0" fontId="5" fillId="3" borderId="0" xfId="0" applyFont="1" applyFill="1">
      <alignment vertical="center"/>
    </xf>
    <xf numFmtId="0" fontId="8" fillId="0" borderId="0" xfId="0" applyFont="1" applyAlignment="1">
      <alignment horizontal="left" vertical="center" wrapText="1"/>
    </xf>
    <xf numFmtId="0" fontId="8" fillId="2" borderId="3" xfId="0" applyFont="1" applyFill="1" applyBorder="1" applyAlignment="1">
      <alignment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vertical="top" wrapText="1"/>
    </xf>
    <xf numFmtId="0" fontId="8" fillId="0" borderId="1" xfId="0" applyFont="1" applyBorder="1" applyAlignment="1">
      <alignment horizontal="right" vertical="center" wrapText="1"/>
    </xf>
    <xf numFmtId="0" fontId="8" fillId="0" borderId="8" xfId="0" applyFont="1" applyBorder="1" applyAlignment="1">
      <alignment horizontal="right" vertical="center" wrapText="1"/>
    </xf>
    <xf numFmtId="3" fontId="8" fillId="0" borderId="1" xfId="0" applyNumberFormat="1" applyFont="1" applyBorder="1" applyAlignment="1">
      <alignment horizontal="right" vertical="center" wrapText="1"/>
    </xf>
    <xf numFmtId="3" fontId="8" fillId="0" borderId="8" xfId="0" applyNumberFormat="1" applyFont="1" applyBorder="1" applyAlignment="1">
      <alignment horizontal="right" vertical="center" wrapText="1"/>
    </xf>
    <xf numFmtId="0" fontId="8" fillId="0" borderId="9" xfId="0" applyFont="1" applyBorder="1" applyAlignment="1">
      <alignment vertical="top" wrapText="1"/>
    </xf>
    <xf numFmtId="3" fontId="8" fillId="0" borderId="10" xfId="0" applyNumberFormat="1" applyFont="1" applyBorder="1" applyAlignment="1">
      <alignment horizontal="right" vertical="center" wrapText="1"/>
    </xf>
    <xf numFmtId="3" fontId="8" fillId="0" borderId="11" xfId="0" applyNumberFormat="1" applyFont="1" applyBorder="1" applyAlignment="1">
      <alignment horizontal="right" vertical="center" wrapText="1"/>
    </xf>
    <xf numFmtId="0" fontId="8" fillId="0" borderId="12" xfId="0" applyFont="1" applyBorder="1" applyAlignment="1">
      <alignment vertical="top" wrapText="1"/>
    </xf>
    <xf numFmtId="3" fontId="8" fillId="0" borderId="2" xfId="0" applyNumberFormat="1" applyFont="1" applyBorder="1" applyAlignment="1">
      <alignment vertical="center" wrapText="1"/>
    </xf>
    <xf numFmtId="3" fontId="8" fillId="0" borderId="2" xfId="0" applyNumberFormat="1" applyFont="1" applyBorder="1" applyAlignment="1">
      <alignment horizontal="right" vertical="center" wrapText="1"/>
    </xf>
    <xf numFmtId="3" fontId="8" fillId="0" borderId="13" xfId="0" applyNumberFormat="1" applyFont="1" applyBorder="1" applyAlignment="1">
      <alignment vertical="center" wrapText="1"/>
    </xf>
    <xf numFmtId="3" fontId="8" fillId="0" borderId="1" xfId="0" applyNumberFormat="1" applyFont="1" applyBorder="1" applyAlignment="1">
      <alignment vertical="center" wrapText="1"/>
    </xf>
    <xf numFmtId="3" fontId="8" fillId="0" borderId="8" xfId="0" applyNumberFormat="1" applyFont="1" applyBorder="1" applyAlignment="1">
      <alignment vertical="center" wrapText="1"/>
    </xf>
    <xf numFmtId="0" fontId="8" fillId="0" borderId="10" xfId="0" applyFont="1" applyBorder="1" applyAlignment="1">
      <alignment horizontal="right" vertical="center" wrapText="1"/>
    </xf>
    <xf numFmtId="0" fontId="8" fillId="0" borderId="11" xfId="0" applyFont="1" applyBorder="1" applyAlignment="1">
      <alignment horizontal="right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1" fillId="0" borderId="0" xfId="0" applyFont="1">
      <alignment vertical="center"/>
    </xf>
    <xf numFmtId="0" fontId="8" fillId="4" borderId="18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vertical="center" wrapText="1"/>
    </xf>
    <xf numFmtId="0" fontId="8" fillId="0" borderId="0" xfId="0" applyFont="1" applyAlignment="1">
      <alignment horizontal="left" vertical="center"/>
    </xf>
    <xf numFmtId="0" fontId="8" fillId="4" borderId="18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0" borderId="7" xfId="0" applyFont="1" applyBorder="1">
      <alignment vertical="center"/>
    </xf>
    <xf numFmtId="3" fontId="8" fillId="0" borderId="1" xfId="0" applyNumberFormat="1" applyFont="1" applyBorder="1" applyAlignment="1">
      <alignment horizontal="right" vertical="center"/>
    </xf>
    <xf numFmtId="41" fontId="5" fillId="0" borderId="23" xfId="1" applyFont="1" applyBorder="1" applyAlignment="1">
      <alignment vertical="center"/>
    </xf>
    <xf numFmtId="0" fontId="8" fillId="0" borderId="9" xfId="0" applyFont="1" applyBorder="1">
      <alignment vertical="center"/>
    </xf>
    <xf numFmtId="0" fontId="5" fillId="0" borderId="23" xfId="0" applyFont="1" applyBorder="1">
      <alignment vertical="center"/>
    </xf>
    <xf numFmtId="0" fontId="4" fillId="0" borderId="23" xfId="0" applyFont="1" applyBorder="1">
      <alignment vertical="center"/>
    </xf>
    <xf numFmtId="41" fontId="8" fillId="0" borderId="1" xfId="1" applyFont="1" applyBorder="1" applyAlignment="1">
      <alignment horizontal="right" vertical="center"/>
    </xf>
    <xf numFmtId="41" fontId="8" fillId="0" borderId="8" xfId="1" applyFont="1" applyBorder="1" applyAlignment="1">
      <alignment horizontal="right" vertical="center"/>
    </xf>
    <xf numFmtId="41" fontId="8" fillId="0" borderId="13" xfId="1" applyFont="1" applyBorder="1" applyAlignment="1">
      <alignment horizontal="right" vertical="center"/>
    </xf>
    <xf numFmtId="41" fontId="8" fillId="0" borderId="15" xfId="1" applyFont="1" applyBorder="1" applyAlignment="1">
      <alignment horizontal="right" vertical="center"/>
    </xf>
    <xf numFmtId="41" fontId="8" fillId="0" borderId="6" xfId="1" applyFont="1" applyBorder="1" applyAlignment="1">
      <alignment horizontal="right" vertical="center"/>
    </xf>
    <xf numFmtId="41" fontId="5" fillId="0" borderId="0" xfId="1" applyFont="1" applyAlignment="1">
      <alignment vertical="center"/>
    </xf>
    <xf numFmtId="41" fontId="8" fillId="0" borderId="2" xfId="1" applyFont="1" applyBorder="1" applyAlignment="1">
      <alignment horizontal="right" vertical="center"/>
    </xf>
    <xf numFmtId="41" fontId="8" fillId="0" borderId="10" xfId="1" applyFont="1" applyBorder="1" applyAlignment="1">
      <alignment horizontal="right" vertical="center"/>
    </xf>
    <xf numFmtId="41" fontId="8" fillId="0" borderId="11" xfId="1" applyFont="1" applyBorder="1" applyAlignment="1">
      <alignment horizontal="right" vertical="center"/>
    </xf>
    <xf numFmtId="41" fontId="5" fillId="3" borderId="0" xfId="1" applyFont="1" applyFill="1" applyAlignment="1">
      <alignment vertical="center"/>
    </xf>
    <xf numFmtId="41" fontId="8" fillId="0" borderId="1" xfId="1" applyFont="1" applyBorder="1" applyAlignment="1">
      <alignment horizontal="right" vertical="center" wrapText="1"/>
    </xf>
    <xf numFmtId="41" fontId="8" fillId="0" borderId="8" xfId="1" applyFont="1" applyBorder="1" applyAlignment="1">
      <alignment horizontal="right" vertical="center" wrapText="1"/>
    </xf>
    <xf numFmtId="41" fontId="8" fillId="0" borderId="13" xfId="1" applyFont="1" applyBorder="1" applyAlignment="1">
      <alignment horizontal="right" vertical="center" wrapText="1"/>
    </xf>
    <xf numFmtId="41" fontId="8" fillId="0" borderId="15" xfId="1" applyFont="1" applyBorder="1" applyAlignment="1">
      <alignment horizontal="right" vertical="center" wrapText="1"/>
    </xf>
    <xf numFmtId="41" fontId="8" fillId="0" borderId="6" xfId="1" applyFont="1" applyBorder="1" applyAlignment="1">
      <alignment horizontal="right" vertical="center" wrapText="1"/>
    </xf>
    <xf numFmtId="41" fontId="5" fillId="0" borderId="0" xfId="1" applyFont="1">
      <alignment vertical="center"/>
    </xf>
    <xf numFmtId="41" fontId="8" fillId="0" borderId="17" xfId="1" applyFont="1" applyBorder="1" applyAlignment="1">
      <alignment horizontal="right" vertical="center"/>
    </xf>
    <xf numFmtId="41" fontId="8" fillId="0" borderId="26" xfId="1" applyFont="1" applyBorder="1" applyAlignment="1">
      <alignment horizontal="right" vertical="center"/>
    </xf>
    <xf numFmtId="41" fontId="5" fillId="0" borderId="27" xfId="1" applyFont="1" applyBorder="1" applyAlignment="1">
      <alignment vertical="center"/>
    </xf>
    <xf numFmtId="41" fontId="8" fillId="0" borderId="16" xfId="1" applyFont="1" applyBorder="1" applyAlignment="1">
      <alignment horizontal="right" vertical="center"/>
    </xf>
    <xf numFmtId="41" fontId="8" fillId="0" borderId="23" xfId="1" applyFont="1" applyBorder="1" applyAlignment="1">
      <alignment horizontal="right" vertical="center"/>
    </xf>
    <xf numFmtId="41" fontId="8" fillId="0" borderId="23" xfId="1" applyFont="1" applyBorder="1" applyAlignment="1">
      <alignment vertical="center"/>
    </xf>
    <xf numFmtId="0" fontId="12" fillId="3" borderId="0" xfId="0" applyFont="1" applyFill="1">
      <alignment vertical="center"/>
    </xf>
    <xf numFmtId="3" fontId="3" fillId="0" borderId="0" xfId="0" applyNumberFormat="1" applyFont="1" applyAlignment="1">
      <alignment horizontal="right" vertical="center" wrapText="1"/>
    </xf>
    <xf numFmtId="3" fontId="3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right" vertical="center" wrapText="1"/>
    </xf>
    <xf numFmtId="0" fontId="8" fillId="0" borderId="12" xfId="0" applyFont="1" applyBorder="1" applyAlignment="1">
      <alignment vertical="center" wrapText="1"/>
    </xf>
    <xf numFmtId="41" fontId="8" fillId="0" borderId="2" xfId="1" applyFont="1" applyBorder="1" applyAlignment="1">
      <alignment horizontal="right" vertical="center" wrapText="1"/>
    </xf>
    <xf numFmtId="0" fontId="8" fillId="0" borderId="28" xfId="0" applyFont="1" applyBorder="1" applyAlignment="1">
      <alignment vertical="center" wrapText="1"/>
    </xf>
    <xf numFmtId="41" fontId="8" fillId="0" borderId="29" xfId="1" applyFont="1" applyBorder="1" applyAlignment="1">
      <alignment horizontal="right" vertical="center" wrapText="1"/>
    </xf>
    <xf numFmtId="41" fontId="8" fillId="0" borderId="30" xfId="1" applyFont="1" applyBorder="1" applyAlignment="1">
      <alignment horizontal="right" vertical="center" wrapText="1"/>
    </xf>
    <xf numFmtId="176" fontId="8" fillId="0" borderId="13" xfId="1" applyNumberFormat="1" applyFont="1" applyBorder="1" applyAlignment="1">
      <alignment horizontal="right" vertical="center"/>
    </xf>
    <xf numFmtId="176" fontId="8" fillId="0" borderId="8" xfId="1" applyNumberFormat="1" applyFont="1" applyBorder="1" applyAlignment="1">
      <alignment horizontal="right" vertical="center"/>
    </xf>
    <xf numFmtId="176" fontId="8" fillId="0" borderId="1" xfId="1" applyNumberFormat="1" applyFont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8" fillId="2" borderId="27" xfId="0" applyFont="1" applyFill="1" applyBorder="1" applyAlignment="1">
      <alignment horizontal="left" vertical="center"/>
    </xf>
    <xf numFmtId="0" fontId="8" fillId="2" borderId="32" xfId="0" applyFont="1" applyFill="1" applyBorder="1" applyAlignment="1">
      <alignment horizontal="left" vertical="center"/>
    </xf>
    <xf numFmtId="0" fontId="8" fillId="2" borderId="25" xfId="0" applyFont="1" applyFill="1" applyBorder="1" applyAlignment="1">
      <alignment horizontal="right" vertical="center"/>
    </xf>
    <xf numFmtId="0" fontId="8" fillId="2" borderId="21" xfId="0" applyFont="1" applyFill="1" applyBorder="1" applyAlignment="1">
      <alignment horizontal="right" vertical="center"/>
    </xf>
    <xf numFmtId="0" fontId="9" fillId="2" borderId="3" xfId="0" applyFont="1" applyFill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5" fillId="0" borderId="32" xfId="0" applyFont="1" applyBorder="1">
      <alignment vertical="center"/>
    </xf>
    <xf numFmtId="3" fontId="8" fillId="0" borderId="14" xfId="0" applyNumberFormat="1" applyFont="1" applyBorder="1" applyAlignment="1">
      <alignment horizontal="right" vertical="center"/>
    </xf>
    <xf numFmtId="0" fontId="8" fillId="0" borderId="7" xfId="0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41" fontId="5" fillId="0" borderId="0" xfId="0" applyNumberFormat="1" applyFont="1">
      <alignment vertical="center"/>
    </xf>
    <xf numFmtId="0" fontId="8" fillId="2" borderId="23" xfId="0" applyFont="1" applyFill="1" applyBorder="1" applyAlignment="1">
      <alignment horizontal="right" vertical="center"/>
    </xf>
    <xf numFmtId="177" fontId="5" fillId="0" borderId="0" xfId="0" applyNumberFormat="1" applyFont="1">
      <alignment vertical="center"/>
    </xf>
    <xf numFmtId="0" fontId="8" fillId="0" borderId="31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5" fillId="0" borderId="33" xfId="0" applyFont="1" applyBorder="1">
      <alignment vertical="center"/>
    </xf>
    <xf numFmtId="0" fontId="8" fillId="0" borderId="33" xfId="0" applyFont="1" applyBorder="1" applyAlignment="1">
      <alignment horizontal="left" vertical="center"/>
    </xf>
    <xf numFmtId="41" fontId="5" fillId="0" borderId="33" xfId="1" applyFont="1" applyBorder="1" applyAlignment="1">
      <alignment vertical="center"/>
    </xf>
    <xf numFmtId="0" fontId="10" fillId="0" borderId="33" xfId="0" applyFont="1" applyBorder="1">
      <alignment vertical="center"/>
    </xf>
    <xf numFmtId="0" fontId="17" fillId="0" borderId="33" xfId="0" applyFont="1" applyBorder="1">
      <alignment vertical="center"/>
    </xf>
    <xf numFmtId="41" fontId="19" fillId="0" borderId="33" xfId="1" applyFont="1" applyBorder="1" applyAlignment="1">
      <alignment vertical="center"/>
    </xf>
    <xf numFmtId="0" fontId="19" fillId="0" borderId="33" xfId="0" applyFont="1" applyBorder="1">
      <alignment vertical="center"/>
    </xf>
    <xf numFmtId="41" fontId="10" fillId="0" borderId="33" xfId="0" applyNumberFormat="1" applyFont="1" applyBorder="1">
      <alignment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" fontId="8" fillId="0" borderId="8" xfId="0" applyNumberFormat="1" applyFont="1" applyBorder="1" applyAlignment="1">
      <alignment horizontal="right" vertical="center"/>
    </xf>
    <xf numFmtId="3" fontId="13" fillId="0" borderId="1" xfId="0" applyNumberFormat="1" applyFont="1" applyBorder="1" applyAlignment="1">
      <alignment horizontal="right" vertical="center"/>
    </xf>
    <xf numFmtId="3" fontId="13" fillId="0" borderId="8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8" fillId="0" borderId="8" xfId="0" applyFont="1" applyBorder="1" applyAlignment="1">
      <alignment horizontal="right" vertical="center"/>
    </xf>
    <xf numFmtId="0" fontId="13" fillId="0" borderId="1" xfId="0" applyFont="1" applyBorder="1" applyAlignment="1">
      <alignment horizontal="right" vertical="center"/>
    </xf>
    <xf numFmtId="0" fontId="13" fillId="0" borderId="8" xfId="0" applyFont="1" applyBorder="1" applyAlignment="1">
      <alignment horizontal="right" vertical="center"/>
    </xf>
    <xf numFmtId="0" fontId="8" fillId="0" borderId="10" xfId="0" applyFont="1" applyBorder="1" applyAlignment="1">
      <alignment horizontal="center" vertical="center"/>
    </xf>
    <xf numFmtId="3" fontId="8" fillId="0" borderId="10" xfId="0" applyNumberFormat="1" applyFont="1" applyBorder="1" applyAlignment="1">
      <alignment horizontal="right" vertical="center"/>
    </xf>
    <xf numFmtId="3" fontId="8" fillId="0" borderId="11" xfId="0" applyNumberFormat="1" applyFont="1" applyBorder="1" applyAlignment="1">
      <alignment horizontal="right" vertical="center"/>
    </xf>
    <xf numFmtId="177" fontId="17" fillId="0" borderId="33" xfId="0" applyNumberFormat="1" applyFont="1" applyBorder="1">
      <alignment vertical="center"/>
    </xf>
    <xf numFmtId="3" fontId="5" fillId="0" borderId="33" xfId="0" applyNumberFormat="1" applyFont="1" applyBorder="1">
      <alignment vertical="center"/>
    </xf>
    <xf numFmtId="0" fontId="6" fillId="3" borderId="33" xfId="0" applyFont="1" applyFill="1" applyBorder="1">
      <alignment vertical="center"/>
    </xf>
    <xf numFmtId="0" fontId="6" fillId="3" borderId="33" xfId="0" applyFont="1" applyFill="1" applyBorder="1" applyAlignment="1">
      <alignment horizontal="right" vertical="center"/>
    </xf>
    <xf numFmtId="0" fontId="10" fillId="5" borderId="33" xfId="0" applyFont="1" applyFill="1" applyBorder="1">
      <alignment vertical="center"/>
    </xf>
    <xf numFmtId="0" fontId="5" fillId="5" borderId="33" xfId="0" applyFont="1" applyFill="1" applyBorder="1">
      <alignment vertical="center"/>
    </xf>
    <xf numFmtId="41" fontId="10" fillId="5" borderId="33" xfId="0" applyNumberFormat="1" applyFont="1" applyFill="1" applyBorder="1">
      <alignment vertical="center"/>
    </xf>
    <xf numFmtId="41" fontId="5" fillId="0" borderId="33" xfId="1" applyFont="1" applyBorder="1">
      <alignment vertical="center"/>
    </xf>
    <xf numFmtId="0" fontId="6" fillId="6" borderId="0" xfId="0" applyFont="1" applyFill="1">
      <alignment vertical="center"/>
    </xf>
    <xf numFmtId="41" fontId="6" fillId="6" borderId="0" xfId="0" applyNumberFormat="1" applyFont="1" applyFill="1">
      <alignment vertical="center"/>
    </xf>
    <xf numFmtId="41" fontId="5" fillId="0" borderId="33" xfId="0" applyNumberFormat="1" applyFont="1" applyBorder="1">
      <alignment vertical="center"/>
    </xf>
    <xf numFmtId="10" fontId="17" fillId="0" borderId="33" xfId="0" applyNumberFormat="1" applyFont="1" applyBorder="1">
      <alignment vertical="center"/>
    </xf>
    <xf numFmtId="0" fontId="8" fillId="0" borderId="7" xfId="0" applyFont="1" applyBorder="1" applyAlignment="1">
      <alignment horizontal="center" vertical="center" wrapText="1"/>
    </xf>
    <xf numFmtId="10" fontId="8" fillId="0" borderId="8" xfId="0" applyNumberFormat="1" applyFont="1" applyBorder="1" applyAlignment="1">
      <alignment horizontal="right" vertical="center" wrapText="1"/>
    </xf>
    <xf numFmtId="0" fontId="8" fillId="0" borderId="9" xfId="0" applyFont="1" applyBorder="1" applyAlignment="1">
      <alignment horizontal="center" vertical="center" wrapText="1"/>
    </xf>
    <xf numFmtId="10" fontId="8" fillId="0" borderId="11" xfId="0" applyNumberFormat="1" applyFont="1" applyBorder="1" applyAlignment="1">
      <alignment horizontal="right" vertical="center" wrapText="1"/>
    </xf>
    <xf numFmtId="0" fontId="13" fillId="4" borderId="18" xfId="0" applyFont="1" applyFill="1" applyBorder="1" applyAlignment="1">
      <alignment horizontal="center" vertical="center" wrapText="1"/>
    </xf>
    <xf numFmtId="0" fontId="13" fillId="4" borderId="19" xfId="0" applyFont="1" applyFill="1" applyBorder="1" applyAlignment="1">
      <alignment horizontal="center" vertical="center" wrapText="1"/>
    </xf>
    <xf numFmtId="0" fontId="13" fillId="4" borderId="20" xfId="0" applyFont="1" applyFill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right" vertical="center" wrapText="1"/>
    </xf>
    <xf numFmtId="9" fontId="22" fillId="0" borderId="1" xfId="0" applyNumberFormat="1" applyFont="1" applyBorder="1" applyAlignment="1">
      <alignment horizontal="right" vertical="center" wrapText="1"/>
    </xf>
    <xf numFmtId="9" fontId="22" fillId="0" borderId="8" xfId="0" applyNumberFormat="1" applyFont="1" applyBorder="1" applyAlignment="1">
      <alignment horizontal="right" vertical="center" wrapText="1"/>
    </xf>
    <xf numFmtId="0" fontId="8" fillId="0" borderId="9" xfId="0" applyFont="1" applyBorder="1" applyAlignment="1">
      <alignment vertical="center" wrapText="1"/>
    </xf>
    <xf numFmtId="9" fontId="8" fillId="0" borderId="10" xfId="0" applyNumberFormat="1" applyFont="1" applyBorder="1" applyAlignment="1">
      <alignment horizontal="right" vertical="center" wrapText="1"/>
    </xf>
    <xf numFmtId="9" fontId="8" fillId="0" borderId="11" xfId="0" applyNumberFormat="1" applyFont="1" applyBorder="1" applyAlignment="1">
      <alignment horizontal="right" vertical="center" wrapText="1"/>
    </xf>
    <xf numFmtId="0" fontId="13" fillId="2" borderId="18" xfId="0" applyFont="1" applyFill="1" applyBorder="1" applyAlignment="1">
      <alignment horizontal="center" vertical="center" wrapText="1"/>
    </xf>
    <xf numFmtId="0" fontId="13" fillId="2" borderId="19" xfId="0" applyFont="1" applyFill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right" vertical="center" wrapText="1"/>
    </xf>
    <xf numFmtId="3" fontId="13" fillId="0" borderId="8" xfId="0" applyNumberFormat="1" applyFont="1" applyBorder="1" applyAlignment="1">
      <alignment horizontal="right" vertical="center" wrapText="1"/>
    </xf>
    <xf numFmtId="0" fontId="13" fillId="0" borderId="7" xfId="0" applyFont="1" applyBorder="1" applyAlignment="1">
      <alignment vertical="center" wrapText="1"/>
    </xf>
    <xf numFmtId="0" fontId="13" fillId="4" borderId="23" xfId="0" applyFont="1" applyFill="1" applyBorder="1" applyAlignment="1">
      <alignment horizontal="center" vertical="center" wrapText="1"/>
    </xf>
    <xf numFmtId="0" fontId="23" fillId="0" borderId="23" xfId="0" applyFont="1" applyBorder="1">
      <alignment vertical="center"/>
    </xf>
    <xf numFmtId="41" fontId="5" fillId="0" borderId="23" xfId="1" applyFont="1" applyBorder="1">
      <alignment vertical="center"/>
    </xf>
    <xf numFmtId="41" fontId="5" fillId="0" borderId="23" xfId="0" applyNumberFormat="1" applyFont="1" applyBorder="1">
      <alignment vertical="center"/>
    </xf>
    <xf numFmtId="177" fontId="5" fillId="0" borderId="23" xfId="0" applyNumberFormat="1" applyFont="1" applyBorder="1">
      <alignment vertical="center"/>
    </xf>
    <xf numFmtId="10" fontId="5" fillId="0" borderId="23" xfId="0" applyNumberFormat="1" applyFont="1" applyBorder="1">
      <alignment vertical="center"/>
    </xf>
    <xf numFmtId="0" fontId="5" fillId="1" borderId="23" xfId="0" applyFont="1" applyFill="1" applyBorder="1">
      <alignment vertical="center"/>
    </xf>
    <xf numFmtId="0" fontId="26" fillId="0" borderId="23" xfId="0" applyFont="1" applyBorder="1">
      <alignment vertical="center"/>
    </xf>
    <xf numFmtId="177" fontId="17" fillId="0" borderId="23" xfId="1" applyNumberFormat="1" applyFont="1" applyBorder="1">
      <alignment vertical="center"/>
    </xf>
    <xf numFmtId="41" fontId="5" fillId="5" borderId="23" xfId="1" applyFont="1" applyFill="1" applyBorder="1" applyAlignment="1">
      <alignment vertical="center"/>
    </xf>
    <xf numFmtId="41" fontId="25" fillId="7" borderId="33" xfId="1" applyFont="1" applyFill="1" applyBorder="1" applyAlignment="1">
      <alignment vertical="center"/>
    </xf>
    <xf numFmtId="177" fontId="25" fillId="7" borderId="33" xfId="1" applyNumberFormat="1" applyFont="1" applyFill="1" applyBorder="1" applyAlignment="1">
      <alignment vertical="center"/>
    </xf>
    <xf numFmtId="176" fontId="8" fillId="8" borderId="13" xfId="1" applyNumberFormat="1" applyFont="1" applyFill="1" applyBorder="1" applyAlignment="1">
      <alignment horizontal="right" vertical="center"/>
    </xf>
    <xf numFmtId="176" fontId="8" fillId="8" borderId="8" xfId="1" applyNumberFormat="1" applyFont="1" applyFill="1" applyBorder="1" applyAlignment="1">
      <alignment horizontal="right" vertical="center"/>
    </xf>
    <xf numFmtId="176" fontId="8" fillId="8" borderId="1" xfId="1" applyNumberFormat="1" applyFont="1" applyFill="1" applyBorder="1" applyAlignment="1">
      <alignment horizontal="right" vertical="center"/>
    </xf>
    <xf numFmtId="41" fontId="5" fillId="8" borderId="23" xfId="1" applyFont="1" applyFill="1" applyBorder="1" applyAlignment="1">
      <alignment vertical="center"/>
    </xf>
    <xf numFmtId="41" fontId="8" fillId="8" borderId="15" xfId="1" applyFont="1" applyFill="1" applyBorder="1" applyAlignment="1">
      <alignment horizontal="right" vertical="center"/>
    </xf>
    <xf numFmtId="41" fontId="8" fillId="8" borderId="1" xfId="1" applyFont="1" applyFill="1" applyBorder="1" applyAlignment="1">
      <alignment horizontal="right" vertical="center"/>
    </xf>
    <xf numFmtId="41" fontId="8" fillId="8" borderId="6" xfId="1" applyFont="1" applyFill="1" applyBorder="1" applyAlignment="1">
      <alignment horizontal="right" vertical="center"/>
    </xf>
    <xf numFmtId="41" fontId="8" fillId="8" borderId="8" xfId="1" applyFont="1" applyFill="1" applyBorder="1" applyAlignment="1">
      <alignment horizontal="right" vertical="center"/>
    </xf>
    <xf numFmtId="41" fontId="8" fillId="8" borderId="13" xfId="1" applyFont="1" applyFill="1" applyBorder="1" applyAlignment="1">
      <alignment horizontal="right" vertical="center"/>
    </xf>
    <xf numFmtId="41" fontId="8" fillId="8" borderId="10" xfId="1" applyFont="1" applyFill="1" applyBorder="1" applyAlignment="1">
      <alignment horizontal="right" vertical="center"/>
    </xf>
    <xf numFmtId="176" fontId="5" fillId="0" borderId="0" xfId="1" applyNumberFormat="1" applyFont="1">
      <alignment vertical="center"/>
    </xf>
    <xf numFmtId="176" fontId="5" fillId="0" borderId="0" xfId="0" applyNumberFormat="1" applyFont="1">
      <alignment vertical="center"/>
    </xf>
    <xf numFmtId="0" fontId="5" fillId="0" borderId="46" xfId="0" applyFont="1" applyBorder="1">
      <alignment vertical="center"/>
    </xf>
    <xf numFmtId="176" fontId="5" fillId="0" borderId="47" xfId="0" applyNumberFormat="1" applyFont="1" applyBorder="1">
      <alignment vertical="center"/>
    </xf>
    <xf numFmtId="176" fontId="5" fillId="0" borderId="49" xfId="1" applyNumberFormat="1" applyFont="1" applyBorder="1">
      <alignment vertical="center"/>
    </xf>
    <xf numFmtId="176" fontId="5" fillId="0" borderId="49" xfId="0" applyNumberFormat="1" applyFont="1" applyBorder="1">
      <alignment vertical="center"/>
    </xf>
    <xf numFmtId="0" fontId="5" fillId="0" borderId="48" xfId="0" applyFont="1" applyBorder="1">
      <alignment vertical="center"/>
    </xf>
    <xf numFmtId="0" fontId="5" fillId="0" borderId="50" xfId="0" applyFont="1" applyBorder="1">
      <alignment vertical="center"/>
    </xf>
    <xf numFmtId="176" fontId="5" fillId="0" borderId="51" xfId="0" applyNumberFormat="1" applyFont="1" applyBorder="1">
      <alignment vertical="center"/>
    </xf>
    <xf numFmtId="177" fontId="5" fillId="0" borderId="33" xfId="0" applyNumberFormat="1" applyFont="1" applyBorder="1">
      <alignment vertical="center"/>
    </xf>
    <xf numFmtId="41" fontId="6" fillId="6" borderId="0" xfId="1" applyFont="1" applyFill="1">
      <alignment vertical="center"/>
    </xf>
    <xf numFmtId="0" fontId="21" fillId="6" borderId="0" xfId="0" applyFont="1" applyFill="1">
      <alignment vertical="center"/>
    </xf>
    <xf numFmtId="41" fontId="5" fillId="0" borderId="0" xfId="1" applyFont="1" applyBorder="1">
      <alignment vertical="center"/>
    </xf>
    <xf numFmtId="0" fontId="6" fillId="3" borderId="52" xfId="0" applyFont="1" applyFill="1" applyBorder="1">
      <alignment vertical="center"/>
    </xf>
    <xf numFmtId="0" fontId="6" fillId="3" borderId="52" xfId="0" applyFont="1" applyFill="1" applyBorder="1" applyAlignment="1">
      <alignment horizontal="right" vertical="center" wrapText="1"/>
    </xf>
    <xf numFmtId="0" fontId="13" fillId="0" borderId="33" xfId="0" applyFont="1" applyBorder="1" applyAlignment="1">
      <alignment vertical="top"/>
    </xf>
    <xf numFmtId="41" fontId="13" fillId="0" borderId="33" xfId="1" applyFont="1" applyBorder="1" applyAlignment="1">
      <alignment horizontal="right" vertical="center" wrapText="1"/>
    </xf>
    <xf numFmtId="0" fontId="8" fillId="0" borderId="33" xfId="0" applyFont="1" applyBorder="1" applyAlignment="1">
      <alignment vertical="top"/>
    </xf>
    <xf numFmtId="41" fontId="8" fillId="0" borderId="33" xfId="1" applyFont="1" applyBorder="1" applyAlignment="1">
      <alignment horizontal="right" vertical="center" wrapText="1"/>
    </xf>
    <xf numFmtId="0" fontId="8" fillId="0" borderId="53" xfId="0" applyFont="1" applyBorder="1" applyAlignment="1">
      <alignment vertical="top"/>
    </xf>
    <xf numFmtId="41" fontId="8" fillId="0" borderId="53" xfId="1" applyFont="1" applyBorder="1" applyAlignment="1">
      <alignment horizontal="right" vertical="center" wrapText="1"/>
    </xf>
    <xf numFmtId="0" fontId="5" fillId="0" borderId="54" xfId="0" applyFont="1" applyBorder="1">
      <alignment vertical="center"/>
    </xf>
    <xf numFmtId="0" fontId="8" fillId="0" borderId="54" xfId="0" applyFont="1" applyBorder="1" applyAlignment="1">
      <alignment vertical="top"/>
    </xf>
    <xf numFmtId="41" fontId="8" fillId="0" borderId="54" xfId="1" applyFont="1" applyBorder="1" applyAlignment="1">
      <alignment horizontal="right" vertical="center" wrapText="1"/>
    </xf>
    <xf numFmtId="0" fontId="14" fillId="0" borderId="52" xfId="0" applyFont="1" applyBorder="1" applyAlignment="1">
      <alignment vertical="top"/>
    </xf>
    <xf numFmtId="0" fontId="13" fillId="0" borderId="52" xfId="0" applyFont="1" applyBorder="1" applyAlignment="1">
      <alignment vertical="top"/>
    </xf>
    <xf numFmtId="41" fontId="13" fillId="0" borderId="52" xfId="1" applyFont="1" applyBorder="1" applyAlignment="1">
      <alignment horizontal="right" vertical="center" wrapText="1"/>
    </xf>
    <xf numFmtId="0" fontId="5" fillId="0" borderId="53" xfId="0" applyFont="1" applyBorder="1">
      <alignment vertical="center"/>
    </xf>
    <xf numFmtId="0" fontId="6" fillId="3" borderId="55" xfId="0" applyFont="1" applyFill="1" applyBorder="1" applyAlignment="1">
      <alignment horizontal="right" vertical="center"/>
    </xf>
    <xf numFmtId="0" fontId="6" fillId="3" borderId="56" xfId="0" applyFont="1" applyFill="1" applyBorder="1" applyAlignment="1">
      <alignment horizontal="right" vertical="center"/>
    </xf>
    <xf numFmtId="41" fontId="10" fillId="5" borderId="55" xfId="0" applyNumberFormat="1" applyFont="1" applyFill="1" applyBorder="1">
      <alignment vertical="center"/>
    </xf>
    <xf numFmtId="41" fontId="10" fillId="5" borderId="56" xfId="0" applyNumberFormat="1" applyFont="1" applyFill="1" applyBorder="1">
      <alignment vertical="center"/>
    </xf>
    <xf numFmtId="41" fontId="5" fillId="0" borderId="55" xfId="0" applyNumberFormat="1" applyFont="1" applyBorder="1">
      <alignment vertical="center"/>
    </xf>
    <xf numFmtId="41" fontId="5" fillId="0" borderId="56" xfId="0" applyNumberFormat="1" applyFont="1" applyBorder="1">
      <alignment vertical="center"/>
    </xf>
    <xf numFmtId="177" fontId="17" fillId="0" borderId="55" xfId="0" applyNumberFormat="1" applyFont="1" applyBorder="1">
      <alignment vertical="center"/>
    </xf>
    <xf numFmtId="177" fontId="17" fillId="0" borderId="56" xfId="0" applyNumberFormat="1" applyFont="1" applyBorder="1">
      <alignment vertical="center"/>
    </xf>
    <xf numFmtId="41" fontId="5" fillId="0" borderId="55" xfId="1" applyFont="1" applyBorder="1" applyAlignment="1">
      <alignment vertical="center"/>
    </xf>
    <xf numFmtId="41" fontId="5" fillId="0" borderId="56" xfId="1" applyFont="1" applyBorder="1" applyAlignment="1">
      <alignment vertical="center"/>
    </xf>
    <xf numFmtId="41" fontId="19" fillId="0" borderId="55" xfId="1" applyFont="1" applyBorder="1" applyAlignment="1">
      <alignment vertical="center"/>
    </xf>
    <xf numFmtId="41" fontId="19" fillId="0" borderId="56" xfId="1" applyFont="1" applyBorder="1" applyAlignment="1">
      <alignment vertical="center"/>
    </xf>
    <xf numFmtId="41" fontId="25" fillId="7" borderId="55" xfId="1" applyFont="1" applyFill="1" applyBorder="1" applyAlignment="1">
      <alignment vertical="center"/>
    </xf>
    <xf numFmtId="41" fontId="25" fillId="7" borderId="56" xfId="1" applyFont="1" applyFill="1" applyBorder="1" applyAlignment="1">
      <alignment vertical="center"/>
    </xf>
    <xf numFmtId="177" fontId="25" fillId="7" borderId="55" xfId="1" applyNumberFormat="1" applyFont="1" applyFill="1" applyBorder="1" applyAlignment="1">
      <alignment vertical="center"/>
    </xf>
    <xf numFmtId="177" fontId="25" fillId="7" borderId="56" xfId="1" applyNumberFormat="1" applyFont="1" applyFill="1" applyBorder="1" applyAlignment="1">
      <alignment vertical="center"/>
    </xf>
    <xf numFmtId="3" fontId="5" fillId="0" borderId="55" xfId="0" applyNumberFormat="1" applyFont="1" applyBorder="1">
      <alignment vertical="center"/>
    </xf>
    <xf numFmtId="3" fontId="5" fillId="0" borderId="56" xfId="0" applyNumberFormat="1" applyFont="1" applyBorder="1">
      <alignment vertical="center"/>
    </xf>
    <xf numFmtId="10" fontId="17" fillId="0" borderId="55" xfId="0" applyNumberFormat="1" applyFont="1" applyBorder="1">
      <alignment vertical="center"/>
    </xf>
    <xf numFmtId="10" fontId="17" fillId="0" borderId="56" xfId="0" applyNumberFormat="1" applyFont="1" applyBorder="1">
      <alignment vertical="center"/>
    </xf>
    <xf numFmtId="41" fontId="6" fillId="6" borderId="57" xfId="0" applyNumberFormat="1" applyFont="1" applyFill="1" applyBorder="1">
      <alignment vertical="center"/>
    </xf>
    <xf numFmtId="41" fontId="6" fillId="6" borderId="58" xfId="0" applyNumberFormat="1" applyFont="1" applyFill="1" applyBorder="1">
      <alignment vertical="center"/>
    </xf>
    <xf numFmtId="0" fontId="25" fillId="7" borderId="33" xfId="0" applyFont="1" applyFill="1" applyBorder="1">
      <alignment vertical="center"/>
    </xf>
    <xf numFmtId="0" fontId="8" fillId="2" borderId="59" xfId="0" applyFont="1" applyFill="1" applyBorder="1" applyAlignment="1">
      <alignment horizontal="left" vertical="center"/>
    </xf>
    <xf numFmtId="0" fontId="8" fillId="2" borderId="60" xfId="0" applyFont="1" applyFill="1" applyBorder="1" applyAlignment="1">
      <alignment horizontal="right" vertical="center"/>
    </xf>
    <xf numFmtId="0" fontId="8" fillId="2" borderId="61" xfId="0" applyFont="1" applyFill="1" applyBorder="1" applyAlignment="1">
      <alignment horizontal="right" vertical="center"/>
    </xf>
    <xf numFmtId="0" fontId="8" fillId="0" borderId="62" xfId="0" applyFont="1" applyBorder="1" applyAlignment="1">
      <alignment horizontal="left" vertical="center"/>
    </xf>
    <xf numFmtId="41" fontId="5" fillId="5" borderId="63" xfId="1" applyFont="1" applyFill="1" applyBorder="1" applyAlignment="1">
      <alignment vertical="center"/>
    </xf>
    <xf numFmtId="0" fontId="8" fillId="0" borderId="64" xfId="0" applyFont="1" applyBorder="1" applyAlignment="1">
      <alignment horizontal="left" vertical="center"/>
    </xf>
    <xf numFmtId="41" fontId="5" fillId="5" borderId="65" xfId="1" applyFont="1" applyFill="1" applyBorder="1" applyAlignment="1">
      <alignment vertical="center"/>
    </xf>
    <xf numFmtId="41" fontId="5" fillId="5" borderId="66" xfId="1" applyFont="1" applyFill="1" applyBorder="1" applyAlignment="1">
      <alignment vertical="center"/>
    </xf>
    <xf numFmtId="0" fontId="13" fillId="2" borderId="67" xfId="0" applyFont="1" applyFill="1" applyBorder="1" applyAlignment="1">
      <alignment horizontal="right" vertical="center"/>
    </xf>
    <xf numFmtId="0" fontId="8" fillId="2" borderId="68" xfId="0" applyFont="1" applyFill="1" applyBorder="1" applyAlignment="1">
      <alignment horizontal="right" vertical="center"/>
    </xf>
    <xf numFmtId="0" fontId="8" fillId="0" borderId="69" xfId="0" applyFont="1" applyBorder="1" applyAlignment="1">
      <alignment horizontal="left" vertical="center"/>
    </xf>
    <xf numFmtId="0" fontId="5" fillId="0" borderId="69" xfId="0" applyFont="1" applyBorder="1" applyAlignment="1">
      <alignment horizontal="left" vertical="center"/>
    </xf>
    <xf numFmtId="0" fontId="5" fillId="0" borderId="70" xfId="0" applyFont="1" applyBorder="1" applyAlignment="1">
      <alignment horizontal="left" vertical="center"/>
    </xf>
    <xf numFmtId="0" fontId="8" fillId="0" borderId="71" xfId="0" applyFont="1" applyBorder="1" applyAlignment="1">
      <alignment horizontal="left" vertical="center"/>
    </xf>
    <xf numFmtId="0" fontId="15" fillId="2" borderId="67" xfId="0" applyFont="1" applyFill="1" applyBorder="1" applyAlignment="1">
      <alignment horizontal="left" vertical="center"/>
    </xf>
    <xf numFmtId="0" fontId="8" fillId="2" borderId="72" xfId="0" applyFont="1" applyFill="1" applyBorder="1" applyAlignment="1">
      <alignment horizontal="right" vertical="center"/>
    </xf>
    <xf numFmtId="0" fontId="8" fillId="2" borderId="73" xfId="0" applyFont="1" applyFill="1" applyBorder="1" applyAlignment="1">
      <alignment horizontal="right" vertical="center"/>
    </xf>
    <xf numFmtId="177" fontId="17" fillId="0" borderId="55" xfId="0" applyNumberFormat="1" applyFont="1" applyBorder="1" applyAlignment="1">
      <alignment horizontal="right" vertical="center"/>
    </xf>
    <xf numFmtId="41" fontId="5" fillId="0" borderId="55" xfId="1" applyFont="1" applyBorder="1" applyAlignment="1">
      <alignment horizontal="right" vertical="center"/>
    </xf>
    <xf numFmtId="41" fontId="5" fillId="0" borderId="56" xfId="1" applyFont="1" applyBorder="1" applyAlignment="1">
      <alignment horizontal="right" vertical="center"/>
    </xf>
    <xf numFmtId="41" fontId="17" fillId="0" borderId="55" xfId="1" quotePrefix="1" applyFont="1" applyBorder="1" applyAlignment="1">
      <alignment horizontal="right" vertical="center"/>
    </xf>
    <xf numFmtId="0" fontId="5" fillId="6" borderId="0" xfId="0" applyFont="1" applyFill="1" applyAlignment="1">
      <alignment horizontal="centerContinuous" vertical="center"/>
    </xf>
    <xf numFmtId="0" fontId="34" fillId="8" borderId="0" xfId="0" applyFont="1" applyFill="1" applyAlignment="1">
      <alignment horizontal="centerContinuous" vertical="center"/>
    </xf>
    <xf numFmtId="0" fontId="35" fillId="6" borderId="0" xfId="0" applyFont="1" applyFill="1" applyAlignment="1">
      <alignment horizontal="centerContinuous" vertical="center"/>
    </xf>
    <xf numFmtId="0" fontId="38" fillId="0" borderId="0" xfId="3" applyFont="1">
      <alignment vertical="center"/>
    </xf>
    <xf numFmtId="0" fontId="5" fillId="0" borderId="0" xfId="3" applyFont="1">
      <alignment vertical="center"/>
    </xf>
    <xf numFmtId="0" fontId="5" fillId="0" borderId="0" xfId="3" applyFont="1" applyAlignment="1">
      <alignment horizontal="right" vertical="center"/>
    </xf>
    <xf numFmtId="0" fontId="10" fillId="0" borderId="74" xfId="3" applyFont="1" applyBorder="1">
      <alignment vertical="center"/>
    </xf>
    <xf numFmtId="0" fontId="5" fillId="0" borderId="74" xfId="3" applyFont="1" applyBorder="1">
      <alignment vertical="center"/>
    </xf>
    <xf numFmtId="0" fontId="30" fillId="0" borderId="0" xfId="3" applyFont="1" applyAlignment="1">
      <alignment horizontal="right" vertical="center"/>
    </xf>
    <xf numFmtId="0" fontId="5" fillId="0" borderId="75" xfId="3" applyFont="1" applyBorder="1">
      <alignment vertical="center"/>
    </xf>
    <xf numFmtId="178" fontId="5" fillId="0" borderId="0" xfId="5" applyNumberFormat="1" applyFont="1">
      <alignment vertical="center"/>
    </xf>
    <xf numFmtId="0" fontId="34" fillId="7" borderId="0" xfId="5" applyNumberFormat="1" applyFont="1" applyFill="1" applyAlignment="1">
      <alignment horizontal="centerContinuous" vertical="center"/>
    </xf>
    <xf numFmtId="0" fontId="10" fillId="0" borderId="33" xfId="3" applyFont="1" applyBorder="1">
      <alignment vertical="center"/>
    </xf>
    <xf numFmtId="41" fontId="10" fillId="0" borderId="33" xfId="5" applyFont="1" applyBorder="1">
      <alignment vertical="center"/>
    </xf>
    <xf numFmtId="41" fontId="10" fillId="0" borderId="32" xfId="5" applyFont="1" applyBorder="1">
      <alignment vertical="center"/>
    </xf>
    <xf numFmtId="0" fontId="5" fillId="0" borderId="33" xfId="3" applyFont="1" applyBorder="1">
      <alignment vertical="center"/>
    </xf>
    <xf numFmtId="0" fontId="17" fillId="0" borderId="33" xfId="3" applyFont="1" applyBorder="1">
      <alignment vertical="center"/>
    </xf>
    <xf numFmtId="177" fontId="17" fillId="0" borderId="33" xfId="3" applyNumberFormat="1" applyFont="1" applyBorder="1">
      <alignment vertical="center"/>
    </xf>
    <xf numFmtId="177" fontId="17" fillId="0" borderId="32" xfId="3" applyNumberFormat="1" applyFont="1" applyBorder="1">
      <alignment vertical="center"/>
    </xf>
    <xf numFmtId="41" fontId="5" fillId="0" borderId="33" xfId="5" applyFont="1" applyBorder="1">
      <alignment vertical="center"/>
    </xf>
    <xf numFmtId="41" fontId="5" fillId="0" borderId="32" xfId="5" applyFont="1" applyBorder="1">
      <alignment vertical="center"/>
    </xf>
    <xf numFmtId="0" fontId="10" fillId="9" borderId="33" xfId="3" applyFont="1" applyFill="1" applyBorder="1">
      <alignment vertical="center"/>
    </xf>
    <xf numFmtId="41" fontId="10" fillId="9" borderId="33" xfId="5" applyFont="1" applyFill="1" applyBorder="1">
      <alignment vertical="center"/>
    </xf>
    <xf numFmtId="41" fontId="10" fillId="9" borderId="32" xfId="5" applyFont="1" applyFill="1" applyBorder="1">
      <alignment vertical="center"/>
    </xf>
    <xf numFmtId="41" fontId="17" fillId="0" borderId="33" xfId="5" applyFont="1" applyBorder="1">
      <alignment vertical="center"/>
    </xf>
    <xf numFmtId="41" fontId="17" fillId="0" borderId="32" xfId="5" applyFont="1" applyBorder="1">
      <alignment vertical="center"/>
    </xf>
    <xf numFmtId="41" fontId="5" fillId="0" borderId="33" xfId="5" applyFont="1" applyFill="1" applyBorder="1">
      <alignment vertical="center"/>
    </xf>
    <xf numFmtId="41" fontId="5" fillId="0" borderId="32" xfId="5" applyFont="1" applyFill="1" applyBorder="1">
      <alignment vertical="center"/>
    </xf>
    <xf numFmtId="176" fontId="5" fillId="0" borderId="33" xfId="5" applyNumberFormat="1" applyFont="1" applyFill="1" applyBorder="1">
      <alignment vertical="center"/>
    </xf>
    <xf numFmtId="176" fontId="5" fillId="0" borderId="32" xfId="5" applyNumberFormat="1" applyFont="1" applyFill="1" applyBorder="1">
      <alignment vertical="center"/>
    </xf>
    <xf numFmtId="176" fontId="10" fillId="9" borderId="33" xfId="5" applyNumberFormat="1" applyFont="1" applyFill="1" applyBorder="1">
      <alignment vertical="center"/>
    </xf>
    <xf numFmtId="176" fontId="10" fillId="9" borderId="32" xfId="5" applyNumberFormat="1" applyFont="1" applyFill="1" applyBorder="1">
      <alignment vertical="center"/>
    </xf>
    <xf numFmtId="0" fontId="5" fillId="10" borderId="33" xfId="3" applyFont="1" applyFill="1" applyBorder="1">
      <alignment vertical="center"/>
    </xf>
    <xf numFmtId="0" fontId="5" fillId="10" borderId="32" xfId="3" applyFont="1" applyFill="1" applyBorder="1">
      <alignment vertical="center"/>
    </xf>
    <xf numFmtId="179" fontId="41" fillId="0" borderId="33" xfId="5" applyNumberFormat="1" applyFont="1" applyFill="1" applyBorder="1">
      <alignment vertical="center"/>
    </xf>
    <xf numFmtId="180" fontId="41" fillId="0" borderId="33" xfId="5" applyNumberFormat="1" applyFont="1" applyBorder="1">
      <alignment vertical="center"/>
    </xf>
    <xf numFmtId="0" fontId="10" fillId="9" borderId="53" xfId="3" applyFont="1" applyFill="1" applyBorder="1">
      <alignment vertical="center"/>
    </xf>
    <xf numFmtId="0" fontId="10" fillId="11" borderId="53" xfId="3" applyFont="1" applyFill="1" applyBorder="1">
      <alignment vertical="center"/>
    </xf>
    <xf numFmtId="0" fontId="10" fillId="11" borderId="76" xfId="3" applyFont="1" applyFill="1" applyBorder="1">
      <alignment vertical="center"/>
    </xf>
    <xf numFmtId="41" fontId="10" fillId="9" borderId="53" xfId="5" applyFont="1" applyFill="1" applyBorder="1">
      <alignment vertical="center"/>
    </xf>
    <xf numFmtId="41" fontId="5" fillId="0" borderId="0" xfId="3" applyNumberFormat="1" applyFont="1">
      <alignment vertical="center"/>
    </xf>
    <xf numFmtId="0" fontId="10" fillId="12" borderId="0" xfId="3" applyFont="1" applyFill="1" applyAlignment="1"/>
    <xf numFmtId="0" fontId="5" fillId="12" borderId="0" xfId="3" applyFont="1" applyFill="1">
      <alignment vertical="center"/>
    </xf>
    <xf numFmtId="10" fontId="10" fillId="12" borderId="0" xfId="6" applyNumberFormat="1" applyFont="1" applyFill="1" applyAlignment="1"/>
    <xf numFmtId="10" fontId="5" fillId="12" borderId="0" xfId="6" applyNumberFormat="1" applyFont="1" applyFill="1" applyAlignment="1"/>
    <xf numFmtId="181" fontId="10" fillId="12" borderId="0" xfId="7" applyFont="1" applyFill="1"/>
    <xf numFmtId="177" fontId="10" fillId="12" borderId="0" xfId="6" applyNumberFormat="1" applyFont="1" applyFill="1" applyAlignment="1"/>
    <xf numFmtId="177" fontId="5" fillId="12" borderId="0" xfId="6" applyNumberFormat="1" applyFont="1" applyFill="1" applyAlignment="1"/>
    <xf numFmtId="0" fontId="46" fillId="0" borderId="0" xfId="3" applyFont="1">
      <alignment vertical="center"/>
    </xf>
    <xf numFmtId="0" fontId="46" fillId="0" borderId="0" xfId="3" applyFont="1" applyAlignment="1">
      <alignment horizontal="centerContinuous" vertical="center"/>
    </xf>
    <xf numFmtId="0" fontId="48" fillId="0" borderId="0" xfId="3" applyFont="1" applyAlignment="1">
      <alignment horizontal="centerContinuous" vertical="center"/>
    </xf>
    <xf numFmtId="0" fontId="5" fillId="0" borderId="79" xfId="8" applyFont="1" applyBorder="1"/>
    <xf numFmtId="181" fontId="5" fillId="0" borderId="79" xfId="8" applyNumberFormat="1" applyFont="1" applyBorder="1"/>
    <xf numFmtId="0" fontId="5" fillId="0" borderId="79" xfId="11" applyFont="1" applyBorder="1" applyAlignment="1">
      <alignment horizontal="left"/>
    </xf>
    <xf numFmtId="181" fontId="10" fillId="0" borderId="79" xfId="7" applyFont="1" applyFill="1" applyBorder="1"/>
    <xf numFmtId="0" fontId="10" fillId="0" borderId="79" xfId="8" applyFont="1" applyBorder="1"/>
    <xf numFmtId="181" fontId="5" fillId="0" borderId="79" xfId="9" applyNumberFormat="1" applyFont="1" applyBorder="1" applyAlignment="1"/>
    <xf numFmtId="0" fontId="46" fillId="0" borderId="0" xfId="3" applyFont="1" applyAlignment="1">
      <alignment horizontal="center" vertical="center"/>
    </xf>
    <xf numFmtId="41" fontId="10" fillId="0" borderId="33" xfId="5" applyFont="1" applyFill="1" applyBorder="1">
      <alignment vertical="center"/>
    </xf>
    <xf numFmtId="181" fontId="5" fillId="0" borderId="79" xfId="7" applyFont="1" applyFill="1" applyBorder="1" applyAlignment="1">
      <alignment horizontal="left" indent="1"/>
    </xf>
    <xf numFmtId="183" fontId="5" fillId="0" borderId="79" xfId="3" applyNumberFormat="1" applyFont="1" applyBorder="1">
      <alignment vertical="center"/>
    </xf>
    <xf numFmtId="41" fontId="5" fillId="0" borderId="81" xfId="5" applyFont="1" applyBorder="1">
      <alignment vertical="center"/>
    </xf>
    <xf numFmtId="0" fontId="5" fillId="0" borderId="79" xfId="8" applyFont="1" applyBorder="1" applyAlignment="1">
      <alignment horizontal="left" indent="1"/>
    </xf>
    <xf numFmtId="183" fontId="5" fillId="0" borderId="0" xfId="3" applyNumberFormat="1" applyFont="1">
      <alignment vertical="center"/>
    </xf>
    <xf numFmtId="0" fontId="10" fillId="12" borderId="79" xfId="8" applyFont="1" applyFill="1" applyBorder="1"/>
    <xf numFmtId="181" fontId="10" fillId="12" borderId="79" xfId="9" applyNumberFormat="1" applyFont="1" applyFill="1" applyBorder="1" applyAlignment="1"/>
    <xf numFmtId="41" fontId="5" fillId="0" borderId="53" xfId="5" applyFont="1" applyFill="1" applyBorder="1">
      <alignment vertical="center"/>
    </xf>
    <xf numFmtId="0" fontId="24" fillId="0" borderId="79" xfId="3" applyFont="1" applyBorder="1">
      <alignment vertical="center"/>
    </xf>
    <xf numFmtId="0" fontId="5" fillId="0" borderId="79" xfId="3" applyFont="1" applyBorder="1">
      <alignment vertical="center"/>
    </xf>
    <xf numFmtId="3" fontId="5" fillId="0" borderId="79" xfId="3" applyNumberFormat="1" applyFont="1" applyBorder="1">
      <alignment vertical="center"/>
    </xf>
    <xf numFmtId="0" fontId="32" fillId="0" borderId="79" xfId="3" applyFont="1" applyBorder="1">
      <alignment vertical="center"/>
    </xf>
    <xf numFmtId="0" fontId="17" fillId="0" borderId="79" xfId="3" applyFont="1" applyBorder="1">
      <alignment vertical="center"/>
    </xf>
    <xf numFmtId="3" fontId="17" fillId="0" borderId="79" xfId="3" applyNumberFormat="1" applyFont="1" applyBorder="1">
      <alignment vertical="center"/>
    </xf>
    <xf numFmtId="41" fontId="5" fillId="0" borderId="0" xfId="5" applyFont="1">
      <alignment vertical="center"/>
    </xf>
    <xf numFmtId="0" fontId="10" fillId="12" borderId="82" xfId="3" applyFont="1" applyFill="1" applyBorder="1">
      <alignment vertical="center"/>
    </xf>
    <xf numFmtId="41" fontId="50" fillId="12" borderId="82" xfId="5" applyFont="1" applyFill="1" applyBorder="1">
      <alignment vertical="center"/>
    </xf>
    <xf numFmtId="0" fontId="51" fillId="0" borderId="0" xfId="3" applyFont="1">
      <alignment vertical="center"/>
    </xf>
    <xf numFmtId="0" fontId="25" fillId="0" borderId="0" xfId="3" applyFont="1">
      <alignment vertical="center"/>
    </xf>
    <xf numFmtId="41" fontId="25" fillId="0" borderId="0" xfId="3" applyNumberFormat="1" applyFont="1">
      <alignment vertical="center"/>
    </xf>
    <xf numFmtId="0" fontId="6" fillId="3" borderId="33" xfId="3" applyFont="1" applyFill="1" applyBorder="1">
      <alignment vertical="center"/>
    </xf>
    <xf numFmtId="0" fontId="6" fillId="3" borderId="33" xfId="3" applyFont="1" applyFill="1" applyBorder="1" applyAlignment="1">
      <alignment horizontal="right" vertical="center"/>
    </xf>
    <xf numFmtId="0" fontId="6" fillId="3" borderId="32" xfId="3" applyFont="1" applyFill="1" applyBorder="1" applyAlignment="1">
      <alignment horizontal="right" vertical="center"/>
    </xf>
    <xf numFmtId="0" fontId="11" fillId="0" borderId="0" xfId="3" applyFont="1">
      <alignment vertical="center"/>
    </xf>
    <xf numFmtId="182" fontId="6" fillId="3" borderId="79" xfId="10" applyFont="1" applyFill="1" applyBorder="1" applyAlignment="1">
      <alignment horizontal="left"/>
    </xf>
    <xf numFmtId="182" fontId="6" fillId="3" borderId="79" xfId="10" applyFont="1" applyFill="1" applyBorder="1" applyAlignment="1">
      <alignment horizontal="left" wrapText="1"/>
    </xf>
    <xf numFmtId="182" fontId="6" fillId="3" borderId="79" xfId="10" applyFont="1" applyFill="1" applyBorder="1" applyAlignment="1">
      <alignment horizontal="right"/>
    </xf>
    <xf numFmtId="0" fontId="7" fillId="3" borderId="52" xfId="3" applyFont="1" applyFill="1" applyBorder="1">
      <alignment vertical="center"/>
    </xf>
    <xf numFmtId="0" fontId="6" fillId="3" borderId="52" xfId="3" applyFont="1" applyFill="1" applyBorder="1">
      <alignment vertical="center"/>
    </xf>
    <xf numFmtId="0" fontId="6" fillId="3" borderId="52" xfId="3" applyFont="1" applyFill="1" applyBorder="1" applyAlignment="1">
      <alignment horizontal="right" vertical="center"/>
    </xf>
    <xf numFmtId="0" fontId="14" fillId="0" borderId="83" xfId="0" applyFont="1" applyBorder="1" applyAlignment="1">
      <alignment vertical="top"/>
    </xf>
    <xf numFmtId="0" fontId="13" fillId="0" borderId="83" xfId="0" applyFont="1" applyBorder="1" applyAlignment="1">
      <alignment vertical="top"/>
    </xf>
    <xf numFmtId="41" fontId="13" fillId="0" borderId="83" xfId="1" applyFont="1" applyBorder="1" applyAlignment="1">
      <alignment horizontal="right" vertical="center" wrapText="1"/>
    </xf>
    <xf numFmtId="0" fontId="10" fillId="0" borderId="85" xfId="3" applyFont="1" applyBorder="1">
      <alignment vertical="center"/>
    </xf>
    <xf numFmtId="0" fontId="5" fillId="0" borderId="85" xfId="3" applyFont="1" applyBorder="1">
      <alignment vertical="center"/>
    </xf>
    <xf numFmtId="41" fontId="5" fillId="0" borderId="85" xfId="3" applyNumberFormat="1" applyFont="1" applyBorder="1">
      <alignment vertical="center"/>
    </xf>
    <xf numFmtId="41" fontId="5" fillId="0" borderId="85" xfId="5" applyFont="1" applyBorder="1">
      <alignment vertical="center"/>
    </xf>
    <xf numFmtId="0" fontId="5" fillId="0" borderId="86" xfId="3" applyFont="1" applyBorder="1">
      <alignment vertical="center"/>
    </xf>
    <xf numFmtId="177" fontId="5" fillId="0" borderId="0" xfId="3" applyNumberFormat="1" applyFont="1">
      <alignment vertical="center"/>
    </xf>
    <xf numFmtId="41" fontId="10" fillId="0" borderId="85" xfId="5" applyFont="1" applyBorder="1">
      <alignment vertical="center"/>
    </xf>
    <xf numFmtId="176" fontId="10" fillId="0" borderId="85" xfId="5" applyNumberFormat="1" applyFont="1" applyBorder="1">
      <alignment vertical="center"/>
    </xf>
    <xf numFmtId="176" fontId="5" fillId="0" borderId="85" xfId="3" applyNumberFormat="1" applyFont="1" applyBorder="1">
      <alignment vertical="center"/>
    </xf>
    <xf numFmtId="10" fontId="5" fillId="0" borderId="85" xfId="3" applyNumberFormat="1" applyFont="1" applyBorder="1">
      <alignment vertical="center"/>
    </xf>
    <xf numFmtId="10" fontId="5" fillId="0" borderId="86" xfId="3" applyNumberFormat="1" applyFont="1" applyBorder="1">
      <alignment vertical="center"/>
    </xf>
    <xf numFmtId="41" fontId="17" fillId="0" borderId="33" xfId="3" applyNumberFormat="1" applyFont="1" applyBorder="1">
      <alignment vertical="center"/>
    </xf>
    <xf numFmtId="41" fontId="10" fillId="0" borderId="33" xfId="3" applyNumberFormat="1" applyFont="1" applyBorder="1">
      <alignment vertical="center"/>
    </xf>
    <xf numFmtId="41" fontId="5" fillId="0" borderId="33" xfId="3" applyNumberFormat="1" applyFont="1" applyBorder="1">
      <alignment vertical="center"/>
    </xf>
    <xf numFmtId="177" fontId="17" fillId="0" borderId="33" xfId="5" applyNumberFormat="1" applyFont="1" applyBorder="1">
      <alignment vertical="center"/>
    </xf>
    <xf numFmtId="0" fontId="5" fillId="0" borderId="53" xfId="3" applyFont="1" applyBorder="1">
      <alignment vertical="center"/>
    </xf>
    <xf numFmtId="176" fontId="5" fillId="0" borderId="53" xfId="3" applyNumberFormat="1" applyFont="1" applyBorder="1">
      <alignment vertical="center"/>
    </xf>
    <xf numFmtId="0" fontId="17" fillId="0" borderId="0" xfId="3" applyFont="1">
      <alignment vertical="center"/>
    </xf>
    <xf numFmtId="41" fontId="17" fillId="0" borderId="0" xfId="5" applyFont="1">
      <alignment vertical="center"/>
    </xf>
    <xf numFmtId="0" fontId="17" fillId="0" borderId="75" xfId="3" applyFont="1" applyBorder="1">
      <alignment vertical="center"/>
    </xf>
    <xf numFmtId="41" fontId="17" fillId="0" borderId="75" xfId="5" applyFont="1" applyBorder="1">
      <alignment vertical="center"/>
    </xf>
    <xf numFmtId="177" fontId="33" fillId="0" borderId="54" xfId="3" applyNumberFormat="1" applyFont="1" applyBorder="1">
      <alignment vertical="center"/>
    </xf>
    <xf numFmtId="0" fontId="13" fillId="0" borderId="7" xfId="0" applyFont="1" applyBorder="1" applyAlignment="1">
      <alignment vertical="top" wrapText="1"/>
    </xf>
    <xf numFmtId="41" fontId="13" fillId="0" borderId="8" xfId="1" applyFont="1" applyBorder="1" applyAlignment="1">
      <alignment horizontal="right" vertical="center" wrapText="1"/>
    </xf>
    <xf numFmtId="41" fontId="13" fillId="0" borderId="1" xfId="1" applyFont="1" applyBorder="1" applyAlignment="1">
      <alignment horizontal="right" vertical="center" wrapText="1"/>
    </xf>
    <xf numFmtId="0" fontId="24" fillId="0" borderId="85" xfId="3" applyFont="1" applyBorder="1">
      <alignment vertical="center"/>
    </xf>
    <xf numFmtId="0" fontId="6" fillId="3" borderId="87" xfId="0" applyFont="1" applyFill="1" applyBorder="1" applyAlignment="1">
      <alignment horizontal="right" vertical="center"/>
    </xf>
    <xf numFmtId="41" fontId="10" fillId="5" borderId="87" xfId="0" applyNumberFormat="1" applyFont="1" applyFill="1" applyBorder="1">
      <alignment vertical="center"/>
    </xf>
    <xf numFmtId="41" fontId="5" fillId="0" borderId="87" xfId="0" applyNumberFormat="1" applyFont="1" applyBorder="1">
      <alignment vertical="center"/>
    </xf>
    <xf numFmtId="177" fontId="17" fillId="0" borderId="87" xfId="0" applyNumberFormat="1" applyFont="1" applyBorder="1">
      <alignment vertical="center"/>
    </xf>
    <xf numFmtId="41" fontId="5" fillId="0" borderId="87" xfId="1" applyFont="1" applyBorder="1" applyAlignment="1">
      <alignment vertical="center"/>
    </xf>
    <xf numFmtId="41" fontId="19" fillId="0" borderId="87" xfId="1" applyFont="1" applyBorder="1" applyAlignment="1">
      <alignment vertical="center"/>
    </xf>
    <xf numFmtId="41" fontId="25" fillId="7" borderId="87" xfId="1" applyFont="1" applyFill="1" applyBorder="1" applyAlignment="1">
      <alignment vertical="center"/>
    </xf>
    <xf numFmtId="177" fontId="25" fillId="7" borderId="87" xfId="1" applyNumberFormat="1" applyFont="1" applyFill="1" applyBorder="1" applyAlignment="1">
      <alignment vertical="center"/>
    </xf>
    <xf numFmtId="3" fontId="5" fillId="0" borderId="87" xfId="0" applyNumberFormat="1" applyFont="1" applyBorder="1">
      <alignment vertical="center"/>
    </xf>
    <xf numFmtId="177" fontId="17" fillId="0" borderId="87" xfId="0" applyNumberFormat="1" applyFont="1" applyBorder="1" applyAlignment="1">
      <alignment horizontal="right" vertical="center"/>
    </xf>
    <xf numFmtId="177" fontId="17" fillId="0" borderId="56" xfId="0" quotePrefix="1" applyNumberFormat="1" applyFont="1" applyBorder="1" applyAlignment="1">
      <alignment horizontal="right" vertical="center"/>
    </xf>
    <xf numFmtId="41" fontId="5" fillId="0" borderId="87" xfId="1" applyFont="1" applyBorder="1" applyAlignment="1">
      <alignment horizontal="right" vertical="center"/>
    </xf>
    <xf numFmtId="10" fontId="17" fillId="0" borderId="87" xfId="0" applyNumberFormat="1" applyFont="1" applyBorder="1">
      <alignment vertical="center"/>
    </xf>
    <xf numFmtId="41" fontId="6" fillId="6" borderId="88" xfId="0" applyNumberFormat="1" applyFont="1" applyFill="1" applyBorder="1">
      <alignment vertical="center"/>
    </xf>
    <xf numFmtId="41" fontId="10" fillId="0" borderId="89" xfId="5" applyFont="1" applyBorder="1">
      <alignment vertical="center"/>
    </xf>
    <xf numFmtId="41" fontId="10" fillId="0" borderId="90" xfId="5" applyFont="1" applyBorder="1">
      <alignment vertical="center"/>
    </xf>
    <xf numFmtId="41" fontId="5" fillId="0" borderId="89" xfId="1" applyFont="1" applyBorder="1">
      <alignment vertical="center"/>
    </xf>
    <xf numFmtId="41" fontId="5" fillId="0" borderId="90" xfId="3" applyNumberFormat="1" applyFont="1" applyBorder="1">
      <alignment vertical="center"/>
    </xf>
    <xf numFmtId="185" fontId="5" fillId="0" borderId="89" xfId="5" applyNumberFormat="1" applyFont="1" applyBorder="1">
      <alignment vertical="center"/>
    </xf>
    <xf numFmtId="41" fontId="5" fillId="0" borderId="89" xfId="3" applyNumberFormat="1" applyFont="1" applyBorder="1">
      <alignment vertical="center"/>
    </xf>
    <xf numFmtId="176" fontId="10" fillId="0" borderId="89" xfId="5" applyNumberFormat="1" applyFont="1" applyBorder="1">
      <alignment vertical="center"/>
    </xf>
    <xf numFmtId="176" fontId="10" fillId="0" borderId="90" xfId="5" applyNumberFormat="1" applyFont="1" applyBorder="1">
      <alignment vertical="center"/>
    </xf>
    <xf numFmtId="176" fontId="5" fillId="0" borderId="89" xfId="3" applyNumberFormat="1" applyFont="1" applyBorder="1">
      <alignment vertical="center"/>
    </xf>
    <xf numFmtId="176" fontId="5" fillId="0" borderId="90" xfId="3" applyNumberFormat="1" applyFont="1" applyBorder="1">
      <alignment vertical="center"/>
    </xf>
    <xf numFmtId="0" fontId="5" fillId="0" borderId="89" xfId="3" applyFont="1" applyBorder="1">
      <alignment vertical="center"/>
    </xf>
    <xf numFmtId="0" fontId="5" fillId="0" borderId="90" xfId="3" applyFont="1" applyBorder="1">
      <alignment vertical="center"/>
    </xf>
    <xf numFmtId="10" fontId="5" fillId="0" borderId="89" xfId="3" applyNumberFormat="1" applyFont="1" applyBorder="1">
      <alignment vertical="center"/>
    </xf>
    <xf numFmtId="10" fontId="5" fillId="0" borderId="90" xfId="3" applyNumberFormat="1" applyFont="1" applyBorder="1">
      <alignment vertical="center"/>
    </xf>
    <xf numFmtId="10" fontId="5" fillId="0" borderId="92" xfId="3" applyNumberFormat="1" applyFont="1" applyBorder="1">
      <alignment vertical="center"/>
    </xf>
    <xf numFmtId="10" fontId="5" fillId="0" borderId="93" xfId="3" applyNumberFormat="1" applyFont="1" applyBorder="1">
      <alignment vertical="center"/>
    </xf>
    <xf numFmtId="0" fontId="33" fillId="0" borderId="0" xfId="3" applyFont="1">
      <alignment vertical="center"/>
    </xf>
    <xf numFmtId="0" fontId="6" fillId="3" borderId="84" xfId="5" applyNumberFormat="1" applyFont="1" applyFill="1" applyBorder="1">
      <alignment vertical="center"/>
    </xf>
    <xf numFmtId="0" fontId="6" fillId="3" borderId="84" xfId="0" applyFont="1" applyFill="1" applyBorder="1">
      <alignment vertical="center"/>
    </xf>
    <xf numFmtId="0" fontId="6" fillId="3" borderId="95" xfId="0" applyFont="1" applyFill="1" applyBorder="1" applyAlignment="1">
      <alignment horizontal="right" vertical="center"/>
    </xf>
    <xf numFmtId="0" fontId="6" fillId="3" borderId="96" xfId="0" applyFont="1" applyFill="1" applyBorder="1" applyAlignment="1">
      <alignment horizontal="right" vertical="center"/>
    </xf>
    <xf numFmtId="0" fontId="6" fillId="3" borderId="84" xfId="0" applyFont="1" applyFill="1" applyBorder="1" applyAlignment="1">
      <alignment horizontal="right" vertical="center"/>
    </xf>
    <xf numFmtId="0" fontId="35" fillId="3" borderId="97" xfId="0" applyFont="1" applyFill="1" applyBorder="1" applyAlignment="1">
      <alignment horizontal="right" vertical="center"/>
    </xf>
    <xf numFmtId="41" fontId="52" fillId="0" borderId="91" xfId="5" applyFont="1" applyBorder="1">
      <alignment vertical="center"/>
    </xf>
    <xf numFmtId="41" fontId="17" fillId="0" borderId="91" xfId="3" applyNumberFormat="1" applyFont="1" applyBorder="1">
      <alignment vertical="center"/>
    </xf>
    <xf numFmtId="176" fontId="52" fillId="0" borderId="91" xfId="5" applyNumberFormat="1" applyFont="1" applyBorder="1">
      <alignment vertical="center"/>
    </xf>
    <xf numFmtId="0" fontId="17" fillId="0" borderId="91" xfId="3" applyFont="1" applyBorder="1">
      <alignment vertical="center"/>
    </xf>
    <xf numFmtId="10" fontId="17" fillId="0" borderId="91" xfId="3" applyNumberFormat="1" applyFont="1" applyBorder="1">
      <alignment vertical="center"/>
    </xf>
    <xf numFmtId="10" fontId="17" fillId="0" borderId="94" xfId="3" applyNumberFormat="1" applyFont="1" applyBorder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top" wrapText="1"/>
    </xf>
    <xf numFmtId="0" fontId="8" fillId="0" borderId="0" xfId="0" applyFont="1">
      <alignment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5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53" fillId="0" borderId="0" xfId="0" applyFont="1">
      <alignment vertical="center"/>
    </xf>
    <xf numFmtId="0" fontId="8" fillId="0" borderId="33" xfId="0" applyFont="1" applyBorder="1">
      <alignment vertical="center"/>
    </xf>
    <xf numFmtId="0" fontId="0" fillId="0" borderId="33" xfId="0" applyBorder="1">
      <alignment vertical="center"/>
    </xf>
    <xf numFmtId="0" fontId="8" fillId="0" borderId="33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33" xfId="0" applyFont="1" applyBorder="1">
      <alignment vertical="center"/>
    </xf>
    <xf numFmtId="0" fontId="26" fillId="0" borderId="33" xfId="0" applyFont="1" applyBorder="1">
      <alignment vertical="center"/>
    </xf>
    <xf numFmtId="41" fontId="26" fillId="0" borderId="33" xfId="0" applyNumberFormat="1" applyFont="1" applyBorder="1">
      <alignment vertical="center"/>
    </xf>
    <xf numFmtId="41" fontId="17" fillId="0" borderId="33" xfId="0" applyNumberFormat="1" applyFont="1" applyBorder="1">
      <alignment vertical="center"/>
    </xf>
    <xf numFmtId="0" fontId="26" fillId="0" borderId="53" xfId="0" applyFont="1" applyBorder="1">
      <alignment vertical="center"/>
    </xf>
    <xf numFmtId="41" fontId="17" fillId="0" borderId="53" xfId="0" applyNumberFormat="1" applyFont="1" applyBorder="1">
      <alignment vertical="center"/>
    </xf>
    <xf numFmtId="41" fontId="17" fillId="0" borderId="55" xfId="0" applyNumberFormat="1" applyFont="1" applyBorder="1">
      <alignment vertical="center"/>
    </xf>
    <xf numFmtId="41" fontId="17" fillId="0" borderId="87" xfId="0" applyNumberFormat="1" applyFont="1" applyBorder="1">
      <alignment vertical="center"/>
    </xf>
    <xf numFmtId="41" fontId="17" fillId="0" borderId="56" xfId="0" applyNumberFormat="1" applyFont="1" applyBorder="1">
      <alignment vertical="center"/>
    </xf>
    <xf numFmtId="41" fontId="17" fillId="0" borderId="103" xfId="0" applyNumberFormat="1" applyFont="1" applyBorder="1">
      <alignment vertical="center"/>
    </xf>
    <xf numFmtId="41" fontId="17" fillId="0" borderId="104" xfId="0" applyNumberFormat="1" applyFont="1" applyBorder="1">
      <alignment vertical="center"/>
    </xf>
    <xf numFmtId="41" fontId="17" fillId="0" borderId="105" xfId="0" applyNumberFormat="1" applyFont="1" applyBorder="1">
      <alignment vertical="center"/>
    </xf>
    <xf numFmtId="0" fontId="25" fillId="0" borderId="33" xfId="0" applyFont="1" applyBorder="1">
      <alignment vertical="center"/>
    </xf>
    <xf numFmtId="41" fontId="17" fillId="0" borderId="33" xfId="1" applyFont="1" applyBorder="1" applyAlignment="1">
      <alignment vertical="center"/>
    </xf>
    <xf numFmtId="41" fontId="10" fillId="0" borderId="33" xfId="1" applyFont="1" applyBorder="1" applyAlignment="1">
      <alignment vertical="center"/>
    </xf>
    <xf numFmtId="0" fontId="5" fillId="0" borderId="46" xfId="0" applyFont="1" applyBorder="1" applyAlignment="1">
      <alignment horizontal="left" vertical="center"/>
    </xf>
    <xf numFmtId="41" fontId="5" fillId="0" borderId="47" xfId="1" applyFont="1" applyBorder="1" applyAlignment="1">
      <alignment horizontal="left" vertical="center"/>
    </xf>
    <xf numFmtId="0" fontId="5" fillId="0" borderId="50" xfId="0" applyFont="1" applyBorder="1" applyAlignment="1">
      <alignment horizontal="left" vertical="center"/>
    </xf>
    <xf numFmtId="41" fontId="5" fillId="0" borderId="51" xfId="0" applyNumberFormat="1" applyFont="1" applyBorder="1" applyAlignment="1">
      <alignment horizontal="left" vertical="center"/>
    </xf>
    <xf numFmtId="176" fontId="5" fillId="0" borderId="51" xfId="0" applyNumberFormat="1" applyFont="1" applyBorder="1" applyAlignment="1">
      <alignment horizontal="right" vertical="center"/>
    </xf>
    <xf numFmtId="41" fontId="8" fillId="0" borderId="10" xfId="1" applyFont="1" applyBorder="1" applyAlignment="1">
      <alignment horizontal="right" vertical="center" wrapText="1"/>
    </xf>
    <xf numFmtId="0" fontId="5" fillId="0" borderId="54" xfId="0" applyFont="1" applyBorder="1" applyAlignment="1">
      <alignment horizontal="left" vertical="center"/>
    </xf>
    <xf numFmtId="0" fontId="5" fillId="0" borderId="74" xfId="0" applyFont="1" applyBorder="1" applyAlignment="1">
      <alignment horizontal="left" vertical="center"/>
    </xf>
    <xf numFmtId="0" fontId="16" fillId="0" borderId="23" xfId="0" applyFont="1" applyBorder="1" applyAlignment="1">
      <alignment horizontal="center" vertical="center"/>
    </xf>
    <xf numFmtId="176" fontId="5" fillId="0" borderId="23" xfId="0" applyNumberFormat="1" applyFont="1" applyBorder="1">
      <alignment vertical="center"/>
    </xf>
    <xf numFmtId="3" fontId="13" fillId="0" borderId="23" xfId="0" applyNumberFormat="1" applyFont="1" applyBorder="1" applyAlignment="1">
      <alignment horizontal="right" vertical="center" wrapText="1"/>
    </xf>
    <xf numFmtId="0" fontId="56" fillId="0" borderId="0" xfId="0" applyFont="1">
      <alignment vertical="center"/>
    </xf>
    <xf numFmtId="0" fontId="57" fillId="0" borderId="33" xfId="0" applyFont="1" applyBorder="1">
      <alignment vertical="center"/>
    </xf>
    <xf numFmtId="41" fontId="57" fillId="0" borderId="33" xfId="1" applyFont="1" applyBorder="1" applyAlignment="1">
      <alignment vertical="center"/>
    </xf>
    <xf numFmtId="0" fontId="32" fillId="0" borderId="33" xfId="0" applyFont="1" applyBorder="1">
      <alignment vertical="center"/>
    </xf>
    <xf numFmtId="0" fontId="0" fillId="0" borderId="53" xfId="0" applyBorder="1">
      <alignment vertical="center"/>
    </xf>
    <xf numFmtId="41" fontId="10" fillId="0" borderId="55" xfId="1" applyFont="1" applyBorder="1" applyAlignment="1">
      <alignment vertical="center"/>
    </xf>
    <xf numFmtId="41" fontId="17" fillId="0" borderId="55" xfId="1" applyFont="1" applyBorder="1" applyAlignment="1">
      <alignment vertical="center"/>
    </xf>
    <xf numFmtId="41" fontId="57" fillId="0" borderId="55" xfId="1" applyFont="1" applyBorder="1" applyAlignment="1">
      <alignment vertical="center"/>
    </xf>
    <xf numFmtId="41" fontId="17" fillId="0" borderId="87" xfId="1" applyFont="1" applyBorder="1" applyAlignment="1">
      <alignment vertical="center"/>
    </xf>
    <xf numFmtId="41" fontId="57" fillId="0" borderId="0" xfId="1" applyFont="1" applyBorder="1" applyAlignment="1">
      <alignment vertical="center"/>
    </xf>
    <xf numFmtId="41" fontId="10" fillId="0" borderId="0" xfId="1" applyFont="1" applyBorder="1" applyAlignment="1">
      <alignment vertical="center"/>
    </xf>
    <xf numFmtId="41" fontId="17" fillId="0" borderId="0" xfId="1" applyFont="1" applyBorder="1" applyAlignment="1">
      <alignment vertical="center"/>
    </xf>
    <xf numFmtId="0" fontId="0" fillId="13" borderId="33" xfId="0" applyFill="1" applyBorder="1">
      <alignment vertical="center"/>
    </xf>
    <xf numFmtId="41" fontId="17" fillId="13" borderId="33" xfId="1" applyFont="1" applyFill="1" applyBorder="1" applyAlignment="1">
      <alignment vertical="center"/>
    </xf>
    <xf numFmtId="41" fontId="57" fillId="13" borderId="33" xfId="1" applyFont="1" applyFill="1" applyBorder="1" applyAlignment="1">
      <alignment vertical="center"/>
    </xf>
    <xf numFmtId="41" fontId="5" fillId="13" borderId="33" xfId="1" applyFont="1" applyFill="1" applyBorder="1" applyAlignment="1">
      <alignment vertical="center"/>
    </xf>
    <xf numFmtId="0" fontId="5" fillId="13" borderId="33" xfId="0" applyFont="1" applyFill="1" applyBorder="1">
      <alignment vertical="center"/>
    </xf>
    <xf numFmtId="41" fontId="57" fillId="0" borderId="87" xfId="1" applyFont="1" applyBorder="1" applyAlignment="1">
      <alignment vertical="center"/>
    </xf>
    <xf numFmtId="41" fontId="10" fillId="0" borderId="88" xfId="1" applyFont="1" applyBorder="1" applyAlignment="1">
      <alignment vertical="center"/>
    </xf>
    <xf numFmtId="41" fontId="10" fillId="0" borderId="107" xfId="1" applyFont="1" applyBorder="1" applyAlignment="1">
      <alignment vertical="center"/>
    </xf>
    <xf numFmtId="41" fontId="59" fillId="0" borderId="56" xfId="0" applyNumberFormat="1" applyFont="1" applyBorder="1">
      <alignment vertical="center"/>
    </xf>
    <xf numFmtId="41" fontId="17" fillId="0" borderId="56" xfId="1" applyFont="1" applyBorder="1" applyAlignment="1">
      <alignment vertical="center"/>
    </xf>
    <xf numFmtId="41" fontId="41" fillId="0" borderId="56" xfId="0" applyNumberFormat="1" applyFont="1" applyBorder="1">
      <alignment vertical="center"/>
    </xf>
    <xf numFmtId="0" fontId="55" fillId="0" borderId="52" xfId="0" applyFont="1" applyBorder="1">
      <alignment vertical="center"/>
    </xf>
    <xf numFmtId="0" fontId="4" fillId="0" borderId="52" xfId="0" applyFont="1" applyBorder="1">
      <alignment vertical="center"/>
    </xf>
    <xf numFmtId="0" fontId="54" fillId="0" borderId="33" xfId="0" applyFont="1" applyBorder="1">
      <alignment vertical="center"/>
    </xf>
    <xf numFmtId="0" fontId="55" fillId="0" borderId="33" xfId="0" applyFont="1" applyBorder="1">
      <alignment vertical="center"/>
    </xf>
    <xf numFmtId="41" fontId="33" fillId="0" borderId="0" xfId="1" applyFont="1" applyBorder="1" applyAlignment="1">
      <alignment vertical="center"/>
    </xf>
    <xf numFmtId="41" fontId="25" fillId="0" borderId="33" xfId="0" applyNumberFormat="1" applyFont="1" applyBorder="1">
      <alignment vertical="center"/>
    </xf>
    <xf numFmtId="41" fontId="57" fillId="0" borderId="56" xfId="0" applyNumberFormat="1" applyFont="1" applyBorder="1">
      <alignment vertical="center"/>
    </xf>
    <xf numFmtId="41" fontId="10" fillId="0" borderId="0" xfId="1" applyFont="1" applyAlignment="1">
      <alignment vertical="center"/>
    </xf>
    <xf numFmtId="0" fontId="6" fillId="3" borderId="108" xfId="0" applyFont="1" applyFill="1" applyBorder="1" applyAlignment="1">
      <alignment horizontal="right" vertical="center"/>
    </xf>
    <xf numFmtId="0" fontId="6" fillId="3" borderId="109" xfId="0" applyFont="1" applyFill="1" applyBorder="1" applyAlignment="1">
      <alignment horizontal="right" vertical="center"/>
    </xf>
    <xf numFmtId="0" fontId="6" fillId="3" borderId="107" xfId="0" applyFont="1" applyFill="1" applyBorder="1" applyAlignment="1">
      <alignment horizontal="right" vertical="center"/>
    </xf>
    <xf numFmtId="0" fontId="6" fillId="3" borderId="52" xfId="0" applyFont="1" applyFill="1" applyBorder="1" applyAlignment="1">
      <alignment horizontal="right" vertical="center"/>
    </xf>
    <xf numFmtId="0" fontId="61" fillId="0" borderId="33" xfId="0" applyFont="1" applyBorder="1">
      <alignment vertical="center"/>
    </xf>
    <xf numFmtId="177" fontId="61" fillId="0" borderId="33" xfId="0" applyNumberFormat="1" applyFont="1" applyBorder="1">
      <alignment vertical="center"/>
    </xf>
    <xf numFmtId="177" fontId="17" fillId="0" borderId="55" xfId="1" applyNumberFormat="1" applyFont="1" applyBorder="1" applyAlignment="1">
      <alignment vertical="center"/>
    </xf>
    <xf numFmtId="177" fontId="62" fillId="0" borderId="33" xfId="0" applyNumberFormat="1" applyFont="1" applyBorder="1">
      <alignment vertical="center"/>
    </xf>
    <xf numFmtId="177" fontId="17" fillId="0" borderId="87" xfId="1" applyNumberFormat="1" applyFont="1" applyBorder="1" applyAlignment="1">
      <alignment vertical="center"/>
    </xf>
    <xf numFmtId="41" fontId="10" fillId="0" borderId="106" xfId="1" applyFont="1" applyBorder="1" applyAlignment="1">
      <alignment vertical="center"/>
    </xf>
    <xf numFmtId="177" fontId="0" fillId="0" borderId="0" xfId="0" applyNumberFormat="1">
      <alignment vertical="center"/>
    </xf>
    <xf numFmtId="0" fontId="55" fillId="0" borderId="74" xfId="0" applyFont="1" applyBorder="1">
      <alignment vertical="center"/>
    </xf>
    <xf numFmtId="0" fontId="4" fillId="0" borderId="74" xfId="0" applyFont="1" applyBorder="1">
      <alignment vertical="center"/>
    </xf>
    <xf numFmtId="41" fontId="10" fillId="0" borderId="52" xfId="1" applyFont="1" applyBorder="1">
      <alignment vertical="center"/>
    </xf>
    <xf numFmtId="41" fontId="10" fillId="0" borderId="108" xfId="1" applyFont="1" applyBorder="1">
      <alignment vertical="center"/>
    </xf>
    <xf numFmtId="41" fontId="10" fillId="0" borderId="109" xfId="1" applyFont="1" applyBorder="1">
      <alignment vertical="center"/>
    </xf>
    <xf numFmtId="41" fontId="10" fillId="0" borderId="107" xfId="1" applyFont="1" applyBorder="1">
      <alignment vertical="center"/>
    </xf>
    <xf numFmtId="41" fontId="5" fillId="0" borderId="87" xfId="1" applyFont="1" applyBorder="1">
      <alignment vertical="center"/>
    </xf>
    <xf numFmtId="41" fontId="5" fillId="0" borderId="56" xfId="1" applyFont="1" applyBorder="1">
      <alignment vertical="center"/>
    </xf>
    <xf numFmtId="0" fontId="26" fillId="0" borderId="74" xfId="0" applyFont="1" applyBorder="1">
      <alignment vertical="center"/>
    </xf>
    <xf numFmtId="177" fontId="17" fillId="0" borderId="74" xfId="0" applyNumberFormat="1" applyFont="1" applyBorder="1">
      <alignment vertical="center"/>
    </xf>
    <xf numFmtId="177" fontId="17" fillId="0" borderId="110" xfId="0" applyNumberFormat="1" applyFont="1" applyBorder="1">
      <alignment vertical="center"/>
    </xf>
    <xf numFmtId="177" fontId="17" fillId="0" borderId="111" xfId="0" applyNumberFormat="1" applyFont="1" applyBorder="1">
      <alignment vertical="center"/>
    </xf>
    <xf numFmtId="177" fontId="17" fillId="0" borderId="106" xfId="0" applyNumberFormat="1" applyFont="1" applyBorder="1">
      <alignment vertical="center"/>
    </xf>
    <xf numFmtId="41" fontId="10" fillId="0" borderId="33" xfId="1" applyFont="1" applyBorder="1">
      <alignment vertical="center"/>
    </xf>
    <xf numFmtId="41" fontId="10" fillId="0" borderId="55" xfId="1" applyFont="1" applyBorder="1">
      <alignment vertical="center"/>
    </xf>
    <xf numFmtId="41" fontId="10" fillId="0" borderId="87" xfId="1" applyFont="1" applyBorder="1">
      <alignment vertical="center"/>
    </xf>
    <xf numFmtId="41" fontId="10" fillId="0" borderId="56" xfId="1" applyFont="1" applyBorder="1">
      <alignment vertical="center"/>
    </xf>
    <xf numFmtId="41" fontId="17" fillId="0" borderId="33" xfId="1" applyFont="1" applyBorder="1">
      <alignment vertical="center"/>
    </xf>
    <xf numFmtId="184" fontId="17" fillId="0" borderId="33" xfId="1" applyNumberFormat="1" applyFont="1" applyBorder="1" applyAlignment="1">
      <alignment vertical="center"/>
    </xf>
    <xf numFmtId="184" fontId="17" fillId="0" borderId="55" xfId="1" applyNumberFormat="1" applyFont="1" applyBorder="1" applyAlignment="1">
      <alignment vertical="center"/>
    </xf>
    <xf numFmtId="184" fontId="17" fillId="0" borderId="87" xfId="1" applyNumberFormat="1" applyFont="1" applyBorder="1">
      <alignment vertical="center"/>
    </xf>
    <xf numFmtId="184" fontId="17" fillId="0" borderId="56" xfId="1" applyNumberFormat="1" applyFont="1" applyBorder="1">
      <alignment vertical="center"/>
    </xf>
    <xf numFmtId="184" fontId="17" fillId="0" borderId="33" xfId="1" applyNumberFormat="1" applyFont="1" applyBorder="1">
      <alignment vertical="center"/>
    </xf>
    <xf numFmtId="184" fontId="33" fillId="0" borderId="0" xfId="1" applyNumberFormat="1" applyFont="1">
      <alignment vertical="center"/>
    </xf>
    <xf numFmtId="0" fontId="63" fillId="0" borderId="33" xfId="0" applyFont="1" applyBorder="1">
      <alignment vertical="center"/>
    </xf>
    <xf numFmtId="41" fontId="10" fillId="0" borderId="55" xfId="0" applyNumberFormat="1" applyFont="1" applyBorder="1">
      <alignment vertical="center"/>
    </xf>
    <xf numFmtId="41" fontId="10" fillId="0" borderId="87" xfId="0" applyNumberFormat="1" applyFont="1" applyBorder="1">
      <alignment vertical="center"/>
    </xf>
    <xf numFmtId="41" fontId="10" fillId="0" borderId="56" xfId="0" applyNumberFormat="1" applyFont="1" applyBorder="1">
      <alignment vertical="center"/>
    </xf>
    <xf numFmtId="0" fontId="6" fillId="6" borderId="53" xfId="0" applyFont="1" applyFill="1" applyBorder="1">
      <alignment vertical="center"/>
    </xf>
    <xf numFmtId="41" fontId="6" fillId="6" borderId="53" xfId="0" applyNumberFormat="1" applyFont="1" applyFill="1" applyBorder="1">
      <alignment vertical="center"/>
    </xf>
    <xf numFmtId="41" fontId="6" fillId="6" borderId="103" xfId="0" applyNumberFormat="1" applyFont="1" applyFill="1" applyBorder="1">
      <alignment vertical="center"/>
    </xf>
    <xf numFmtId="41" fontId="6" fillId="6" borderId="104" xfId="0" applyNumberFormat="1" applyFont="1" applyFill="1" applyBorder="1">
      <alignment vertical="center"/>
    </xf>
    <xf numFmtId="41" fontId="6" fillId="6" borderId="105" xfId="0" applyNumberFormat="1" applyFont="1" applyFill="1" applyBorder="1">
      <alignment vertical="center"/>
    </xf>
    <xf numFmtId="0" fontId="51" fillId="0" borderId="0" xfId="0" applyFont="1">
      <alignment vertical="center"/>
    </xf>
    <xf numFmtId="0" fontId="6" fillId="3" borderId="55" xfId="3" applyFont="1" applyFill="1" applyBorder="1" applyAlignment="1">
      <alignment horizontal="right" vertical="center"/>
    </xf>
    <xf numFmtId="0" fontId="6" fillId="3" borderId="87" xfId="3" applyFont="1" applyFill="1" applyBorder="1" applyAlignment="1">
      <alignment horizontal="right" vertical="center"/>
    </xf>
    <xf numFmtId="0" fontId="6" fillId="3" borderId="56" xfId="3" applyFont="1" applyFill="1" applyBorder="1" applyAlignment="1">
      <alignment horizontal="right" vertical="center"/>
    </xf>
    <xf numFmtId="41" fontId="10" fillId="0" borderId="55" xfId="5" applyFont="1" applyBorder="1">
      <alignment vertical="center"/>
    </xf>
    <xf numFmtId="41" fontId="10" fillId="0" borderId="87" xfId="5" applyFont="1" applyBorder="1">
      <alignment vertical="center"/>
    </xf>
    <xf numFmtId="41" fontId="10" fillId="0" borderId="56" xfId="5" applyFont="1" applyBorder="1">
      <alignment vertical="center"/>
    </xf>
    <xf numFmtId="177" fontId="17" fillId="0" borderId="55" xfId="3" applyNumberFormat="1" applyFont="1" applyBorder="1">
      <alignment vertical="center"/>
    </xf>
    <xf numFmtId="177" fontId="17" fillId="0" borderId="87" xfId="3" applyNumberFormat="1" applyFont="1" applyBorder="1">
      <alignment vertical="center"/>
    </xf>
    <xf numFmtId="177" fontId="17" fillId="0" borderId="56" xfId="3" applyNumberFormat="1" applyFont="1" applyBorder="1">
      <alignment vertical="center"/>
    </xf>
    <xf numFmtId="41" fontId="5" fillId="0" borderId="55" xfId="5" applyFont="1" applyBorder="1">
      <alignment vertical="center"/>
    </xf>
    <xf numFmtId="41" fontId="5" fillId="0" borderId="87" xfId="5" applyFont="1" applyBorder="1">
      <alignment vertical="center"/>
    </xf>
    <xf numFmtId="41" fontId="5" fillId="0" borderId="56" xfId="5" applyFont="1" applyBorder="1">
      <alignment vertical="center"/>
    </xf>
    <xf numFmtId="41" fontId="10" fillId="9" borderId="55" xfId="5" applyFont="1" applyFill="1" applyBorder="1">
      <alignment vertical="center"/>
    </xf>
    <xf numFmtId="41" fontId="10" fillId="9" borderId="87" xfId="5" applyFont="1" applyFill="1" applyBorder="1">
      <alignment vertical="center"/>
    </xf>
    <xf numFmtId="41" fontId="10" fillId="9" borderId="56" xfId="5" applyFont="1" applyFill="1" applyBorder="1">
      <alignment vertical="center"/>
    </xf>
    <xf numFmtId="41" fontId="17" fillId="0" borderId="55" xfId="5" applyFont="1" applyBorder="1">
      <alignment vertical="center"/>
    </xf>
    <xf numFmtId="41" fontId="17" fillId="0" borderId="87" xfId="5" applyFont="1" applyBorder="1">
      <alignment vertical="center"/>
    </xf>
    <xf numFmtId="41" fontId="17" fillId="0" borderId="56" xfId="5" applyFont="1" applyBorder="1">
      <alignment vertical="center"/>
    </xf>
    <xf numFmtId="41" fontId="5" fillId="0" borderId="55" xfId="5" applyFont="1" applyFill="1" applyBorder="1">
      <alignment vertical="center"/>
    </xf>
    <xf numFmtId="41" fontId="5" fillId="0" borderId="87" xfId="5" applyFont="1" applyFill="1" applyBorder="1">
      <alignment vertical="center"/>
    </xf>
    <xf numFmtId="41" fontId="5" fillId="0" borderId="56" xfId="5" applyFont="1" applyFill="1" applyBorder="1">
      <alignment vertical="center"/>
    </xf>
    <xf numFmtId="176" fontId="5" fillId="0" borderId="55" xfId="5" applyNumberFormat="1" applyFont="1" applyFill="1" applyBorder="1">
      <alignment vertical="center"/>
    </xf>
    <xf numFmtId="176" fontId="5" fillId="0" borderId="87" xfId="5" applyNumberFormat="1" applyFont="1" applyFill="1" applyBorder="1">
      <alignment vertical="center"/>
    </xf>
    <xf numFmtId="176" fontId="5" fillId="0" borderId="56" xfId="5" applyNumberFormat="1" applyFont="1" applyFill="1" applyBorder="1">
      <alignment vertical="center"/>
    </xf>
    <xf numFmtId="176" fontId="10" fillId="9" borderId="55" xfId="5" applyNumberFormat="1" applyFont="1" applyFill="1" applyBorder="1">
      <alignment vertical="center"/>
    </xf>
    <xf numFmtId="176" fontId="10" fillId="9" borderId="87" xfId="5" applyNumberFormat="1" applyFont="1" applyFill="1" applyBorder="1">
      <alignment vertical="center"/>
    </xf>
    <xf numFmtId="176" fontId="10" fillId="9" borderId="56" xfId="5" applyNumberFormat="1" applyFont="1" applyFill="1" applyBorder="1">
      <alignment vertical="center"/>
    </xf>
    <xf numFmtId="0" fontId="5" fillId="10" borderId="55" xfId="3" applyFont="1" applyFill="1" applyBorder="1">
      <alignment vertical="center"/>
    </xf>
    <xf numFmtId="179" fontId="41" fillId="0" borderId="87" xfId="5" applyNumberFormat="1" applyFont="1" applyFill="1" applyBorder="1">
      <alignment vertical="center"/>
    </xf>
    <xf numFmtId="0" fontId="5" fillId="10" borderId="56" xfId="3" applyFont="1" applyFill="1" applyBorder="1">
      <alignment vertical="center"/>
    </xf>
    <xf numFmtId="180" fontId="41" fillId="0" borderId="87" xfId="5" applyNumberFormat="1" applyFont="1" applyBorder="1">
      <alignment vertical="center"/>
    </xf>
    <xf numFmtId="0" fontId="10" fillId="11" borderId="103" xfId="3" applyFont="1" applyFill="1" applyBorder="1">
      <alignment vertical="center"/>
    </xf>
    <xf numFmtId="41" fontId="10" fillId="9" borderId="104" xfId="5" applyFont="1" applyFill="1" applyBorder="1">
      <alignment vertical="center"/>
    </xf>
    <xf numFmtId="0" fontId="10" fillId="11" borderId="105" xfId="3" applyFont="1" applyFill="1" applyBorder="1">
      <alignment vertical="center"/>
    </xf>
    <xf numFmtId="0" fontId="64" fillId="6" borderId="0" xfId="0" applyFont="1" applyFill="1" applyAlignment="1">
      <alignment horizontal="centerContinuous" vertical="center"/>
    </xf>
    <xf numFmtId="0" fontId="7" fillId="6" borderId="77" xfId="8" applyFont="1" applyFill="1" applyBorder="1" applyAlignment="1">
      <alignment horizontal="centerContinuous"/>
    </xf>
    <xf numFmtId="0" fontId="6" fillId="6" borderId="77" xfId="8" applyFont="1" applyFill="1" applyBorder="1" applyAlignment="1">
      <alignment horizontal="centerContinuous"/>
    </xf>
    <xf numFmtId="181" fontId="6" fillId="6" borderId="77" xfId="9" applyNumberFormat="1" applyFont="1" applyFill="1" applyBorder="1" applyAlignment="1">
      <alignment horizontal="centerContinuous"/>
    </xf>
    <xf numFmtId="177" fontId="6" fillId="3" borderId="32" xfId="3" applyNumberFormat="1" applyFont="1" applyFill="1" applyBorder="1">
      <alignment vertical="center"/>
    </xf>
    <xf numFmtId="177" fontId="6" fillId="3" borderId="76" xfId="3" applyNumberFormat="1" applyFont="1" applyFill="1" applyBorder="1">
      <alignment vertical="center"/>
    </xf>
    <xf numFmtId="177" fontId="6" fillId="3" borderId="52" xfId="3" applyNumberFormat="1" applyFont="1" applyFill="1" applyBorder="1">
      <alignment vertical="center"/>
    </xf>
    <xf numFmtId="181" fontId="60" fillId="3" borderId="80" xfId="3" applyNumberFormat="1" applyFont="1" applyFill="1" applyBorder="1">
      <alignment vertical="center"/>
    </xf>
    <xf numFmtId="41" fontId="17" fillId="0" borderId="79" xfId="1" applyFont="1" applyBorder="1">
      <alignment vertical="center"/>
    </xf>
    <xf numFmtId="0" fontId="6" fillId="3" borderId="52" xfId="5" applyNumberFormat="1" applyFont="1" applyFill="1" applyBorder="1">
      <alignment vertical="center"/>
    </xf>
    <xf numFmtId="0" fontId="6" fillId="3" borderId="112" xfId="0" applyFont="1" applyFill="1" applyBorder="1" applyAlignment="1">
      <alignment horizontal="right" vertical="center"/>
    </xf>
    <xf numFmtId="0" fontId="35" fillId="3" borderId="113" xfId="0" applyFont="1" applyFill="1" applyBorder="1" applyAlignment="1">
      <alignment horizontal="right" vertical="center"/>
    </xf>
    <xf numFmtId="41" fontId="17" fillId="0" borderId="114" xfId="3" applyNumberFormat="1" applyFont="1" applyBorder="1">
      <alignment vertical="center"/>
    </xf>
    <xf numFmtId="41" fontId="17" fillId="0" borderId="115" xfId="3" applyNumberFormat="1" applyFont="1" applyBorder="1">
      <alignment vertical="center"/>
    </xf>
    <xf numFmtId="41" fontId="10" fillId="0" borderId="114" xfId="3" applyNumberFormat="1" applyFont="1" applyBorder="1">
      <alignment vertical="center"/>
    </xf>
    <xf numFmtId="41" fontId="10" fillId="0" borderId="115" xfId="3" applyNumberFormat="1" applyFont="1" applyBorder="1">
      <alignment vertical="center"/>
    </xf>
    <xf numFmtId="41" fontId="5" fillId="0" borderId="114" xfId="3" applyNumberFormat="1" applyFont="1" applyBorder="1">
      <alignment vertical="center"/>
    </xf>
    <xf numFmtId="41" fontId="5" fillId="0" borderId="115" xfId="5" applyFont="1" applyBorder="1">
      <alignment vertical="center"/>
    </xf>
    <xf numFmtId="177" fontId="17" fillId="0" borderId="114" xfId="3" applyNumberFormat="1" applyFont="1" applyBorder="1">
      <alignment vertical="center"/>
    </xf>
    <xf numFmtId="177" fontId="17" fillId="0" borderId="115" xfId="5" applyNumberFormat="1" applyFont="1" applyBorder="1">
      <alignment vertical="center"/>
    </xf>
    <xf numFmtId="176" fontId="5" fillId="0" borderId="116" xfId="3" applyNumberFormat="1" applyFont="1" applyBorder="1">
      <alignment vertical="center"/>
    </xf>
    <xf numFmtId="176" fontId="5" fillId="0" borderId="117" xfId="3" applyNumberFormat="1" applyFont="1" applyBorder="1">
      <alignment vertical="center"/>
    </xf>
    <xf numFmtId="41" fontId="17" fillId="0" borderId="118" xfId="5" applyFont="1" applyBorder="1">
      <alignment vertical="center"/>
    </xf>
    <xf numFmtId="41" fontId="17" fillId="0" borderId="119" xfId="5" applyFont="1" applyBorder="1">
      <alignment vertical="center"/>
    </xf>
    <xf numFmtId="41" fontId="17" fillId="0" borderId="120" xfId="5" applyFont="1" applyBorder="1">
      <alignment vertical="center"/>
    </xf>
    <xf numFmtId="41" fontId="17" fillId="0" borderId="121" xfId="5" applyFont="1" applyBorder="1">
      <alignment vertical="center"/>
    </xf>
    <xf numFmtId="0" fontId="5" fillId="0" borderId="0" xfId="0" applyFont="1" applyAlignment="1">
      <alignment horizontal="center" vertical="center"/>
    </xf>
    <xf numFmtId="0" fontId="6" fillId="3" borderId="52" xfId="0" applyFont="1" applyFill="1" applyBorder="1" applyAlignment="1">
      <alignment horizontal="center" vertical="center" wrapText="1"/>
    </xf>
    <xf numFmtId="41" fontId="5" fillId="0" borderId="0" xfId="1" applyFont="1" applyBorder="1" applyAlignment="1">
      <alignment horizontal="center" vertical="center"/>
    </xf>
    <xf numFmtId="0" fontId="24" fillId="0" borderId="33" xfId="3" applyFont="1" applyBorder="1">
      <alignment vertical="center"/>
    </xf>
    <xf numFmtId="41" fontId="10" fillId="0" borderId="74" xfId="3" applyNumberFormat="1" applyFont="1" applyBorder="1">
      <alignment vertical="center"/>
    </xf>
    <xf numFmtId="41" fontId="10" fillId="0" borderId="122" xfId="3" applyNumberFormat="1" applyFont="1" applyBorder="1">
      <alignment vertical="center"/>
    </xf>
    <xf numFmtId="41" fontId="10" fillId="0" borderId="123" xfId="3" applyNumberFormat="1" applyFont="1" applyBorder="1">
      <alignment vertical="center"/>
    </xf>
    <xf numFmtId="0" fontId="26" fillId="0" borderId="53" xfId="3" applyFont="1" applyBorder="1">
      <alignment vertical="center"/>
    </xf>
    <xf numFmtId="0" fontId="17" fillId="0" borderId="53" xfId="3" applyFont="1" applyBorder="1">
      <alignment vertical="center"/>
    </xf>
    <xf numFmtId="41" fontId="17" fillId="0" borderId="53" xfId="3" applyNumberFormat="1" applyFont="1" applyBorder="1">
      <alignment vertical="center"/>
    </xf>
    <xf numFmtId="41" fontId="17" fillId="0" borderId="116" xfId="3" applyNumberFormat="1" applyFont="1" applyBorder="1">
      <alignment vertical="center"/>
    </xf>
    <xf numFmtId="41" fontId="17" fillId="0" borderId="117" xfId="3" applyNumberFormat="1" applyFont="1" applyBorder="1">
      <alignment vertical="center"/>
    </xf>
    <xf numFmtId="0" fontId="6" fillId="6" borderId="33" xfId="3" applyFont="1" applyFill="1" applyBorder="1">
      <alignment vertical="center"/>
    </xf>
    <xf numFmtId="41" fontId="6" fillId="6" borderId="33" xfId="3" applyNumberFormat="1" applyFont="1" applyFill="1" applyBorder="1">
      <alignment vertical="center"/>
    </xf>
    <xf numFmtId="41" fontId="6" fillId="6" borderId="114" xfId="3" applyNumberFormat="1" applyFont="1" applyFill="1" applyBorder="1">
      <alignment vertical="center"/>
    </xf>
    <xf numFmtId="41" fontId="6" fillId="6" borderId="115" xfId="3" applyNumberFormat="1" applyFont="1" applyFill="1" applyBorder="1">
      <alignment vertical="center"/>
    </xf>
    <xf numFmtId="0" fontId="17" fillId="0" borderId="54" xfId="3" applyFont="1" applyBorder="1">
      <alignment vertical="center"/>
    </xf>
    <xf numFmtId="41" fontId="17" fillId="0" borderId="54" xfId="3" applyNumberFormat="1" applyFont="1" applyBorder="1">
      <alignment vertical="center"/>
    </xf>
    <xf numFmtId="41" fontId="17" fillId="0" borderId="124" xfId="3" applyNumberFormat="1" applyFont="1" applyBorder="1">
      <alignment vertical="center"/>
    </xf>
    <xf numFmtId="41" fontId="17" fillId="0" borderId="125" xfId="3" applyNumberFormat="1" applyFont="1" applyBorder="1">
      <alignment vertical="center"/>
    </xf>
    <xf numFmtId="0" fontId="26" fillId="0" borderId="54" xfId="3" applyFont="1" applyBorder="1">
      <alignment vertical="center"/>
    </xf>
    <xf numFmtId="0" fontId="6" fillId="3" borderId="126" xfId="0" applyFont="1" applyFill="1" applyBorder="1" applyAlignment="1">
      <alignment horizontal="right" vertical="center"/>
    </xf>
    <xf numFmtId="41" fontId="17" fillId="0" borderId="127" xfId="3" applyNumberFormat="1" applyFont="1" applyBorder="1">
      <alignment vertical="center"/>
    </xf>
    <xf numFmtId="41" fontId="17" fillId="0" borderId="128" xfId="3" applyNumberFormat="1" applyFont="1" applyBorder="1">
      <alignment vertical="center"/>
    </xf>
    <xf numFmtId="41" fontId="17" fillId="0" borderId="129" xfId="3" applyNumberFormat="1" applyFont="1" applyBorder="1">
      <alignment vertical="center"/>
    </xf>
    <xf numFmtId="41" fontId="10" fillId="0" borderId="130" xfId="3" applyNumberFormat="1" applyFont="1" applyBorder="1">
      <alignment vertical="center"/>
    </xf>
    <xf numFmtId="41" fontId="5" fillId="0" borderId="127" xfId="3" applyNumberFormat="1" applyFont="1" applyBorder="1">
      <alignment vertical="center"/>
    </xf>
    <xf numFmtId="177" fontId="17" fillId="0" borderId="127" xfId="3" applyNumberFormat="1" applyFont="1" applyBorder="1">
      <alignment vertical="center"/>
    </xf>
    <xf numFmtId="41" fontId="10" fillId="0" borderId="127" xfId="3" applyNumberFormat="1" applyFont="1" applyBorder="1">
      <alignment vertical="center"/>
    </xf>
    <xf numFmtId="41" fontId="6" fillId="6" borderId="127" xfId="3" applyNumberFormat="1" applyFont="1" applyFill="1" applyBorder="1">
      <alignment vertical="center"/>
    </xf>
    <xf numFmtId="176" fontId="5" fillId="0" borderId="129" xfId="3" applyNumberFormat="1" applyFont="1" applyBorder="1">
      <alignment vertical="center"/>
    </xf>
    <xf numFmtId="41" fontId="17" fillId="0" borderId="131" xfId="5" applyFont="1" applyBorder="1">
      <alignment vertical="center"/>
    </xf>
    <xf numFmtId="41" fontId="17" fillId="0" borderId="132" xfId="5" applyFont="1" applyBorder="1">
      <alignment vertical="center"/>
    </xf>
    <xf numFmtId="0" fontId="10" fillId="0" borderId="0" xfId="3" applyFont="1">
      <alignment vertical="center"/>
    </xf>
    <xf numFmtId="0" fontId="40" fillId="0" borderId="33" xfId="4" applyFont="1" applyBorder="1" applyAlignment="1">
      <alignment horizontal="right" vertical="center"/>
    </xf>
    <xf numFmtId="0" fontId="10" fillId="0" borderId="75" xfId="3" applyFont="1" applyBorder="1">
      <alignment vertical="center"/>
    </xf>
    <xf numFmtId="0" fontId="36" fillId="0" borderId="33" xfId="2" applyBorder="1" applyAlignment="1">
      <alignment horizontal="right" vertical="center"/>
    </xf>
    <xf numFmtId="0" fontId="36" fillId="0" borderId="33" xfId="2" quotePrefix="1" applyBorder="1" applyAlignment="1">
      <alignment horizontal="right" vertical="center"/>
    </xf>
    <xf numFmtId="0" fontId="36" fillId="0" borderId="53" xfId="2" applyBorder="1" applyAlignment="1">
      <alignment horizontal="right" vertical="center"/>
    </xf>
    <xf numFmtId="178" fontId="36" fillId="0" borderId="0" xfId="2" applyNumberFormat="1">
      <alignment vertical="center"/>
    </xf>
    <xf numFmtId="9" fontId="33" fillId="0" borderId="54" xfId="0" applyNumberFormat="1" applyFont="1" applyBorder="1">
      <alignment vertical="center"/>
    </xf>
    <xf numFmtId="9" fontId="33" fillId="0" borderId="47" xfId="0" applyNumberFormat="1" applyFont="1" applyBorder="1">
      <alignment vertical="center"/>
    </xf>
    <xf numFmtId="9" fontId="33" fillId="0" borderId="0" xfId="0" applyNumberFormat="1" applyFont="1">
      <alignment vertical="center"/>
    </xf>
    <xf numFmtId="9" fontId="33" fillId="0" borderId="49" xfId="0" applyNumberFormat="1" applyFont="1" applyBorder="1">
      <alignment vertical="center"/>
    </xf>
    <xf numFmtId="0" fontId="5" fillId="0" borderId="74" xfId="0" applyFont="1" applyBorder="1">
      <alignment vertical="center"/>
    </xf>
    <xf numFmtId="9" fontId="33" fillId="0" borderId="74" xfId="0" applyNumberFormat="1" applyFont="1" applyBorder="1">
      <alignment vertical="center"/>
    </xf>
    <xf numFmtId="9" fontId="33" fillId="0" borderId="51" xfId="0" applyNumberFormat="1" applyFont="1" applyBorder="1">
      <alignment vertical="center"/>
    </xf>
    <xf numFmtId="177" fontId="33" fillId="0" borderId="54" xfId="0" applyNumberFormat="1" applyFont="1" applyBorder="1">
      <alignment vertical="center"/>
    </xf>
    <xf numFmtId="177" fontId="33" fillId="0" borderId="47" xfId="0" applyNumberFormat="1" applyFont="1" applyBorder="1">
      <alignment vertical="center"/>
    </xf>
    <xf numFmtId="177" fontId="33" fillId="0" borderId="74" xfId="0" applyNumberFormat="1" applyFont="1" applyBorder="1">
      <alignment vertical="center"/>
    </xf>
    <xf numFmtId="177" fontId="33" fillId="0" borderId="51" xfId="0" applyNumberFormat="1" applyFont="1" applyBorder="1">
      <alignment vertical="center"/>
    </xf>
    <xf numFmtId="0" fontId="5" fillId="0" borderId="27" xfId="0" applyFont="1" applyBorder="1">
      <alignment vertical="center"/>
    </xf>
    <xf numFmtId="177" fontId="33" fillId="0" borderId="33" xfId="0" applyNumberFormat="1" applyFont="1" applyBorder="1">
      <alignment vertical="center"/>
    </xf>
    <xf numFmtId="177" fontId="33" fillId="0" borderId="32" xfId="0" applyNumberFormat="1" applyFont="1" applyBorder="1">
      <alignment vertical="center"/>
    </xf>
    <xf numFmtId="41" fontId="5" fillId="0" borderId="47" xfId="1" applyFont="1" applyBorder="1">
      <alignment vertical="center"/>
    </xf>
    <xf numFmtId="41" fontId="5" fillId="0" borderId="51" xfId="1" applyFont="1" applyBorder="1">
      <alignment vertical="center"/>
    </xf>
    <xf numFmtId="0" fontId="6" fillId="3" borderId="46" xfId="0" applyFont="1" applyFill="1" applyBorder="1">
      <alignment vertical="center"/>
    </xf>
    <xf numFmtId="0" fontId="6" fillId="3" borderId="50" xfId="0" applyFont="1" applyFill="1" applyBorder="1">
      <alignment vertical="center"/>
    </xf>
    <xf numFmtId="0" fontId="6" fillId="0" borderId="0" xfId="0" applyFont="1">
      <alignment vertical="center"/>
    </xf>
    <xf numFmtId="41" fontId="5" fillId="0" borderId="0" xfId="1" applyFont="1" applyFill="1" applyBorder="1">
      <alignment vertical="center"/>
    </xf>
    <xf numFmtId="41" fontId="5" fillId="0" borderId="53" xfId="1" applyFont="1" applyBorder="1">
      <alignment vertical="center"/>
    </xf>
    <xf numFmtId="41" fontId="5" fillId="0" borderId="55" xfId="1" applyFont="1" applyBorder="1">
      <alignment vertical="center"/>
    </xf>
    <xf numFmtId="41" fontId="5" fillId="0" borderId="103" xfId="1" applyFont="1" applyBorder="1">
      <alignment vertical="center"/>
    </xf>
    <xf numFmtId="41" fontId="5" fillId="0" borderId="104" xfId="1" applyFont="1" applyBorder="1">
      <alignment vertical="center"/>
    </xf>
    <xf numFmtId="41" fontId="5" fillId="0" borderId="105" xfId="1" applyFont="1" applyBorder="1">
      <alignment vertical="center"/>
    </xf>
    <xf numFmtId="0" fontId="35" fillId="6" borderId="0" xfId="0" quotePrefix="1" applyFont="1" applyFill="1" applyAlignment="1">
      <alignment horizontal="centerContinuous" vertical="center"/>
    </xf>
    <xf numFmtId="177" fontId="33" fillId="0" borderId="54" xfId="1" applyNumberFormat="1" applyFont="1" applyBorder="1">
      <alignment vertical="center"/>
    </xf>
    <xf numFmtId="177" fontId="33" fillId="0" borderId="47" xfId="1" applyNumberFormat="1" applyFont="1" applyBorder="1">
      <alignment vertical="center"/>
    </xf>
    <xf numFmtId="177" fontId="33" fillId="0" borderId="0" xfId="1" applyNumberFormat="1" applyFont="1" applyBorder="1">
      <alignment vertical="center"/>
    </xf>
    <xf numFmtId="177" fontId="33" fillId="0" borderId="49" xfId="1" applyNumberFormat="1" applyFont="1" applyBorder="1">
      <alignment vertical="center"/>
    </xf>
    <xf numFmtId="177" fontId="33" fillId="0" borderId="74" xfId="1" applyNumberFormat="1" applyFont="1" applyBorder="1">
      <alignment vertical="center"/>
    </xf>
    <xf numFmtId="177" fontId="33" fillId="0" borderId="51" xfId="1" applyNumberFormat="1" applyFont="1" applyBorder="1">
      <alignment vertical="center"/>
    </xf>
    <xf numFmtId="177" fontId="33" fillId="0" borderId="33" xfId="1" applyNumberFormat="1" applyFont="1" applyBorder="1">
      <alignment vertical="center"/>
    </xf>
    <xf numFmtId="177" fontId="33" fillId="0" borderId="32" xfId="1" applyNumberFormat="1" applyFont="1" applyBorder="1">
      <alignment vertical="center"/>
    </xf>
    <xf numFmtId="178" fontId="33" fillId="0" borderId="54" xfId="1" applyNumberFormat="1" applyFont="1" applyBorder="1">
      <alignment vertical="center"/>
    </xf>
    <xf numFmtId="178" fontId="33" fillId="0" borderId="47" xfId="1" applyNumberFormat="1" applyFont="1" applyBorder="1">
      <alignment vertical="center"/>
    </xf>
    <xf numFmtId="184" fontId="33" fillId="0" borderId="74" xfId="1" applyNumberFormat="1" applyFont="1" applyBorder="1">
      <alignment vertical="center"/>
    </xf>
    <xf numFmtId="184" fontId="33" fillId="0" borderId="51" xfId="1" applyNumberFormat="1" applyFont="1" applyBorder="1">
      <alignment vertical="center"/>
    </xf>
    <xf numFmtId="0" fontId="5" fillId="0" borderId="46" xfId="3" applyFont="1" applyBorder="1">
      <alignment vertical="center"/>
    </xf>
    <xf numFmtId="41" fontId="33" fillId="0" borderId="54" xfId="1" applyFont="1" applyBorder="1">
      <alignment vertical="center"/>
    </xf>
    <xf numFmtId="41" fontId="33" fillId="0" borderId="47" xfId="1" applyFont="1" applyBorder="1">
      <alignment vertical="center"/>
    </xf>
    <xf numFmtId="0" fontId="5" fillId="0" borderId="50" xfId="3" applyFont="1" applyBorder="1">
      <alignment vertical="center"/>
    </xf>
    <xf numFmtId="41" fontId="33" fillId="0" borderId="74" xfId="3" applyNumberFormat="1" applyFont="1" applyBorder="1">
      <alignment vertical="center"/>
    </xf>
    <xf numFmtId="41" fontId="33" fillId="0" borderId="74" xfId="1" applyFont="1" applyBorder="1">
      <alignment vertical="center"/>
    </xf>
    <xf numFmtId="41" fontId="33" fillId="0" borderId="51" xfId="1" applyFont="1" applyBorder="1">
      <alignment vertical="center"/>
    </xf>
    <xf numFmtId="9" fontId="33" fillId="0" borderId="54" xfId="3" applyNumberFormat="1" applyFont="1" applyBorder="1">
      <alignment vertical="center"/>
    </xf>
    <xf numFmtId="9" fontId="33" fillId="0" borderId="47" xfId="3" applyNumberFormat="1" applyFont="1" applyBorder="1">
      <alignment vertical="center"/>
    </xf>
    <xf numFmtId="9" fontId="33" fillId="0" borderId="74" xfId="3" applyNumberFormat="1" applyFont="1" applyBorder="1">
      <alignment vertical="center"/>
    </xf>
    <xf numFmtId="9" fontId="33" fillId="0" borderId="51" xfId="3" applyNumberFormat="1" applyFont="1" applyBorder="1">
      <alignment vertical="center"/>
    </xf>
    <xf numFmtId="41" fontId="33" fillId="0" borderId="49" xfId="1" applyFont="1" applyBorder="1" applyAlignment="1">
      <alignment vertical="center"/>
    </xf>
    <xf numFmtId="41" fontId="33" fillId="0" borderId="74" xfId="1" applyFont="1" applyBorder="1" applyAlignment="1">
      <alignment vertical="center"/>
    </xf>
    <xf numFmtId="41" fontId="33" fillId="0" borderId="51" xfId="1" applyFont="1" applyBorder="1" applyAlignment="1">
      <alignment vertical="center"/>
    </xf>
    <xf numFmtId="0" fontId="5" fillId="7" borderId="54" xfId="0" applyFont="1" applyFill="1" applyBorder="1">
      <alignment vertical="center"/>
    </xf>
    <xf numFmtId="177" fontId="33" fillId="0" borderId="0" xfId="1" applyNumberFormat="1" applyFont="1" applyBorder="1" applyAlignment="1">
      <alignment vertical="center"/>
    </xf>
    <xf numFmtId="177" fontId="33" fillId="0" borderId="49" xfId="1" applyNumberFormat="1" applyFont="1" applyBorder="1" applyAlignment="1">
      <alignment vertical="center"/>
    </xf>
    <xf numFmtId="177" fontId="33" fillId="0" borderId="74" xfId="1" applyNumberFormat="1" applyFont="1" applyBorder="1" applyAlignment="1">
      <alignment vertical="center"/>
    </xf>
    <xf numFmtId="177" fontId="33" fillId="0" borderId="51" xfId="1" applyNumberFormat="1" applyFont="1" applyBorder="1" applyAlignment="1">
      <alignment vertical="center"/>
    </xf>
    <xf numFmtId="0" fontId="65" fillId="0" borderId="133" xfId="0" applyFont="1" applyBorder="1" applyAlignment="1">
      <alignment horizontal="right" vertical="center"/>
    </xf>
    <xf numFmtId="0" fontId="65" fillId="0" borderId="134" xfId="0" applyFont="1" applyBorder="1" applyAlignment="1">
      <alignment horizontal="right" vertical="center"/>
    </xf>
    <xf numFmtId="0" fontId="65" fillId="0" borderId="135" xfId="0" applyFont="1" applyBorder="1" applyAlignment="1">
      <alignment horizontal="right" vertical="center"/>
    </xf>
    <xf numFmtId="0" fontId="6" fillId="6" borderId="134" xfId="0" applyFont="1" applyFill="1" applyBorder="1">
      <alignment vertical="center"/>
    </xf>
    <xf numFmtId="0" fontId="5" fillId="6" borderId="134" xfId="0" applyFont="1" applyFill="1" applyBorder="1">
      <alignment vertical="center"/>
    </xf>
    <xf numFmtId="177" fontId="33" fillId="0" borderId="47" xfId="3" applyNumberFormat="1" applyFont="1" applyBorder="1">
      <alignment vertical="center"/>
    </xf>
    <xf numFmtId="177" fontId="33" fillId="0" borderId="0" xfId="3" applyNumberFormat="1" applyFont="1">
      <alignment vertical="center"/>
    </xf>
    <xf numFmtId="177" fontId="33" fillId="0" borderId="49" xfId="3" applyNumberFormat="1" applyFont="1" applyBorder="1">
      <alignment vertical="center"/>
    </xf>
    <xf numFmtId="177" fontId="33" fillId="0" borderId="74" xfId="3" applyNumberFormat="1" applyFont="1" applyBorder="1">
      <alignment vertical="center"/>
    </xf>
    <xf numFmtId="177" fontId="33" fillId="0" borderId="51" xfId="3" applyNumberFormat="1" applyFont="1" applyBorder="1">
      <alignment vertical="center"/>
    </xf>
    <xf numFmtId="0" fontId="10" fillId="7" borderId="46" xfId="0" applyFont="1" applyFill="1" applyBorder="1" applyAlignment="1">
      <alignment horizontal="left" vertical="center"/>
    </xf>
    <xf numFmtId="0" fontId="5" fillId="7" borderId="47" xfId="0" applyFont="1" applyFill="1" applyBorder="1">
      <alignment vertical="center"/>
    </xf>
    <xf numFmtId="0" fontId="5" fillId="0" borderId="48" xfId="0" applyFont="1" applyBorder="1" applyAlignment="1">
      <alignment horizontal="left" vertical="center"/>
    </xf>
    <xf numFmtId="0" fontId="5" fillId="0" borderId="46" xfId="3" applyFont="1" applyBorder="1" applyAlignment="1">
      <alignment horizontal="left" vertical="center"/>
    </xf>
    <xf numFmtId="0" fontId="5" fillId="0" borderId="48" xfId="3" applyFont="1" applyBorder="1" applyAlignment="1">
      <alignment horizontal="left" vertical="center"/>
    </xf>
    <xf numFmtId="0" fontId="5" fillId="0" borderId="50" xfId="3" applyFont="1" applyBorder="1" applyAlignment="1">
      <alignment horizontal="left" vertical="center"/>
    </xf>
    <xf numFmtId="0" fontId="8" fillId="2" borderId="99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00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8" fillId="2" borderId="39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5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8" fillId="2" borderId="98" xfId="0" applyFont="1" applyFill="1" applyBorder="1" applyAlignment="1">
      <alignment horizontal="center" vertical="center" wrapText="1"/>
    </xf>
    <xf numFmtId="0" fontId="8" fillId="0" borderId="101" xfId="0" applyFont="1" applyBorder="1" applyAlignment="1">
      <alignment horizontal="center" vertical="center" wrapText="1"/>
    </xf>
    <xf numFmtId="0" fontId="8" fillId="0" borderId="10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</cellXfs>
  <cellStyles count="12">
    <cellStyle name="Smart Highlight 3" xfId="7" xr:uid="{38691C0E-358B-4E39-BC6E-B8EA49019F05}"/>
    <cellStyle name="Smart Subtitle 1 3" xfId="10" xr:uid="{DBE98E7C-5876-43DE-80C6-B5FB5688C689}"/>
    <cellStyle name="백분율 2" xfId="6" xr:uid="{FB5FD87D-08E1-4719-8B45-32A432C4533B}"/>
    <cellStyle name="쉼표 [0]" xfId="1" builtinId="6"/>
    <cellStyle name="쉼표 [0] 2" xfId="5" xr:uid="{23F68500-2405-433C-9537-FE7A1A497912}"/>
    <cellStyle name="표준" xfId="0" builtinId="0"/>
    <cellStyle name="표준 2" xfId="3" xr:uid="{4617FF0F-7521-4A92-BF2B-40BF2F0B837E}"/>
    <cellStyle name="표준 2 2" xfId="8" xr:uid="{609BA156-DE94-46F4-9E5C-BAD3544B9391}"/>
    <cellStyle name="표준 3 4" xfId="9" xr:uid="{FC46AC30-7ECD-400E-A522-76A0F07B07A9}"/>
    <cellStyle name="표준 4 2" xfId="11" xr:uid="{30BDC634-A067-4C9E-A931-3396735E7167}"/>
    <cellStyle name="하이퍼링크" xfId="2" builtinId="8"/>
    <cellStyle name="하이퍼링크 2" xfId="4" xr:uid="{47C32311-F701-4073-9B9C-ACD6689FDA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plotArea>
      <cx:plotAreaRegion>
        <cx:series layoutId="waterfall" uniqueId="{4558E3D1-10C5-4C87-A2B8-1D0299291B98}">
          <cx:dataPt idx="0">
            <cx:spPr>
              <a:solidFill>
                <a:srgbClr val="FFC000"/>
              </a:solidFill>
            </cx:spPr>
          </cx:dataPt>
          <cx:dataPt idx="6">
            <cx:spPr>
              <a:solidFill>
                <a:srgbClr val="C00000"/>
              </a:solidFill>
            </cx:spPr>
          </cx:dataPt>
          <cx:dataPt idx="12">
            <cx:spPr>
              <a:solidFill>
                <a:srgbClr val="FFC000"/>
              </a:solidFill>
            </cx:spPr>
          </cx:dataPt>
          <cx:dataPt idx="13">
            <cx:spPr>
              <a:solidFill>
                <a:srgbClr val="C00000"/>
              </a:solidFill>
            </cx:spPr>
          </cx:dataPt>
          <cx:dataPt idx="24">
            <cx:spPr>
              <a:solidFill>
                <a:srgbClr val="FFC000"/>
              </a:solidFill>
            </cx:spPr>
          </cx:dataPt>
          <cx:dataPt idx="25">
            <cx:spPr>
              <a:solidFill>
                <a:srgbClr val="C00000"/>
              </a:solidFill>
            </cx:spPr>
          </cx:dataPt>
          <cx:dataPt idx="36">
            <cx:spPr>
              <a:solidFill>
                <a:srgbClr val="FFC000"/>
              </a:solidFill>
            </cx:spPr>
          </cx:dataPt>
          <cx:dataId val="0"/>
          <cx:layoutPr>
            <cx:subtotals>
              <cx:idx val="0"/>
              <cx:idx val="12"/>
              <cx:idx val="24"/>
              <cx:idx val="36"/>
            </cx:subtotals>
          </cx:layoutPr>
        </cx:series>
      </cx:plotAreaRegion>
      <cx:axis id="0">
        <cx:catScaling gapWidth="0.5"/>
        <cx:tickLabels/>
      </cx:axis>
      <cx:axis id="1" hidden="1">
        <cx:valScaling min="300000"/>
        <cx:tickLabels/>
      </cx:axis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190499</xdr:colOff>
      <xdr:row>1</xdr:row>
      <xdr:rowOff>37618</xdr:rowOff>
    </xdr:from>
    <xdr:to>
      <xdr:col>21</xdr:col>
      <xdr:colOff>347382</xdr:colOff>
      <xdr:row>36</xdr:row>
      <xdr:rowOff>151278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차트 1">
              <a:extLst>
                <a:ext uri="{FF2B5EF4-FFF2-40B4-BE49-F238E27FC236}">
                  <a16:creationId xmlns:a16="http://schemas.microsoft.com/office/drawing/2014/main" id="{24DD2D7F-43BE-4E7B-9566-1E49A89BC9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19674" y="228118"/>
              <a:ext cx="9386608" cy="54476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85734</xdr:colOff>
      <xdr:row>2</xdr:row>
      <xdr:rowOff>0</xdr:rowOff>
    </xdr:from>
    <xdr:to>
      <xdr:col>9</xdr:col>
      <xdr:colOff>459354</xdr:colOff>
      <xdr:row>26</xdr:row>
      <xdr:rowOff>119991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7DFC399-4CD4-4DB8-AAEF-683CE63E9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34" y="166688"/>
          <a:ext cx="5517120" cy="4120491"/>
        </a:xfrm>
        <a:prstGeom prst="rect">
          <a:avLst/>
        </a:prstGeom>
        <a:ln>
          <a:solidFill>
            <a:schemeClr val="accent1">
              <a:lumMod val="50000"/>
            </a:schemeClr>
          </a:solidFill>
        </a:ln>
      </xdr:spPr>
    </xdr:pic>
    <xdr:clientData/>
  </xdr:twoCellAnchor>
  <xdr:twoCellAnchor editAs="oneCell">
    <xdr:from>
      <xdr:col>10</xdr:col>
      <xdr:colOff>85734</xdr:colOff>
      <xdr:row>2</xdr:row>
      <xdr:rowOff>0</xdr:rowOff>
    </xdr:from>
    <xdr:to>
      <xdr:col>18</xdr:col>
      <xdr:colOff>436559</xdr:colOff>
      <xdr:row>16</xdr:row>
      <xdr:rowOff>112644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C6232A3-0A71-4E51-9764-DCA9EBD15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00734" y="166688"/>
          <a:ext cx="5360975" cy="2446269"/>
        </a:xfrm>
        <a:prstGeom prst="rect">
          <a:avLst/>
        </a:prstGeom>
        <a:ln>
          <a:solidFill>
            <a:schemeClr val="accent1">
              <a:lumMod val="50000"/>
            </a:schemeClr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녹색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tm0802@naver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6024D-5619-4CD9-88FC-0748A58B4719}">
  <dimension ref="B1:L22"/>
  <sheetViews>
    <sheetView showGridLines="0" tabSelected="1" zoomScale="56" zoomScaleNormal="130" workbookViewId="0">
      <selection activeCell="G43" sqref="G43"/>
    </sheetView>
  </sheetViews>
  <sheetFormatPr defaultColWidth="9.28515625" defaultRowHeight="12" x14ac:dyDescent="0.2"/>
  <cols>
    <col min="1" max="1" width="1.85546875" style="245" customWidth="1"/>
    <col min="2" max="2" width="14.42578125" style="245" customWidth="1"/>
    <col min="3" max="3" width="26.42578125" style="245" customWidth="1"/>
    <col min="4" max="4" width="20.42578125" style="246" customWidth="1"/>
    <col min="5" max="16384" width="9.28515625" style="245"/>
  </cols>
  <sheetData>
    <row r="1" spans="2:12" ht="15" x14ac:dyDescent="0.2">
      <c r="B1" s="323" t="s">
        <v>0</v>
      </c>
    </row>
    <row r="2" spans="2:12" ht="12.75" thickBot="1" x14ac:dyDescent="0.25"/>
    <row r="3" spans="2:12" x14ac:dyDescent="0.2">
      <c r="B3" s="327" t="s">
        <v>1</v>
      </c>
      <c r="C3" s="328" t="s">
        <v>2</v>
      </c>
      <c r="D3" s="329" t="s">
        <v>3</v>
      </c>
    </row>
    <row r="4" spans="2:12" x14ac:dyDescent="0.2">
      <c r="B4" s="608" t="s">
        <v>4</v>
      </c>
      <c r="C4" s="256" t="s">
        <v>0</v>
      </c>
      <c r="D4" s="611" t="s">
        <v>3</v>
      </c>
    </row>
    <row r="5" spans="2:12" x14ac:dyDescent="0.2">
      <c r="B5" s="608"/>
      <c r="C5" s="256" t="s">
        <v>5</v>
      </c>
      <c r="D5" s="609"/>
    </row>
    <row r="6" spans="2:12" x14ac:dyDescent="0.2">
      <c r="B6" s="247"/>
      <c r="C6" s="256" t="s">
        <v>6</v>
      </c>
      <c r="D6" s="611" t="s">
        <v>3</v>
      </c>
    </row>
    <row r="7" spans="2:12" x14ac:dyDescent="0.2">
      <c r="B7" s="608" t="s">
        <v>7</v>
      </c>
      <c r="C7" s="256" t="s">
        <v>7</v>
      </c>
      <c r="D7" s="611" t="s">
        <v>3</v>
      </c>
      <c r="J7" s="249"/>
      <c r="L7" s="249"/>
    </row>
    <row r="8" spans="2:12" x14ac:dyDescent="0.2">
      <c r="B8" s="608"/>
      <c r="C8" s="256" t="s">
        <v>8</v>
      </c>
      <c r="D8" s="612" t="s">
        <v>3</v>
      </c>
      <c r="J8" s="249"/>
      <c r="L8" s="249"/>
    </row>
    <row r="9" spans="2:12" x14ac:dyDescent="0.2">
      <c r="B9" s="253" t="s">
        <v>9</v>
      </c>
      <c r="C9" s="256" t="s">
        <v>9</v>
      </c>
      <c r="D9" s="611" t="s">
        <v>3</v>
      </c>
    </row>
    <row r="10" spans="2:12" x14ac:dyDescent="0.2">
      <c r="B10" s="608" t="s">
        <v>10</v>
      </c>
      <c r="C10" s="256" t="s">
        <v>11</v>
      </c>
      <c r="D10" s="612" t="s">
        <v>3</v>
      </c>
    </row>
    <row r="11" spans="2:12" x14ac:dyDescent="0.2">
      <c r="B11" s="608"/>
      <c r="C11" s="256" t="s">
        <v>12</v>
      </c>
      <c r="D11" s="611" t="s">
        <v>3</v>
      </c>
    </row>
    <row r="12" spans="2:12" x14ac:dyDescent="0.2">
      <c r="B12" s="608"/>
      <c r="C12" s="256" t="s">
        <v>13</v>
      </c>
      <c r="D12" s="612" t="s">
        <v>3</v>
      </c>
    </row>
    <row r="13" spans="2:12" x14ac:dyDescent="0.2">
      <c r="B13" s="248"/>
      <c r="C13" s="256" t="s">
        <v>14</v>
      </c>
      <c r="D13" s="611" t="s">
        <v>3</v>
      </c>
    </row>
    <row r="14" spans="2:12" x14ac:dyDescent="0.2">
      <c r="B14" s="608" t="s">
        <v>15</v>
      </c>
      <c r="C14" s="256" t="s">
        <v>16</v>
      </c>
      <c r="D14" s="611" t="s">
        <v>3</v>
      </c>
    </row>
    <row r="15" spans="2:12" x14ac:dyDescent="0.2">
      <c r="B15" s="608"/>
      <c r="C15" s="256" t="s">
        <v>17</v>
      </c>
      <c r="D15" s="611" t="s">
        <v>3</v>
      </c>
    </row>
    <row r="16" spans="2:12" x14ac:dyDescent="0.2">
      <c r="B16" s="608"/>
      <c r="C16" s="256" t="s">
        <v>18</v>
      </c>
      <c r="D16" s="611" t="s">
        <v>3</v>
      </c>
    </row>
    <row r="17" spans="2:4" x14ac:dyDescent="0.2">
      <c r="B17" s="608"/>
      <c r="C17" s="256" t="s">
        <v>19</v>
      </c>
      <c r="D17" s="611" t="s">
        <v>3</v>
      </c>
    </row>
    <row r="18" spans="2:4" x14ac:dyDescent="0.2">
      <c r="B18" s="608"/>
      <c r="C18" s="256" t="s">
        <v>20</v>
      </c>
      <c r="D18" s="612" t="s">
        <v>3</v>
      </c>
    </row>
    <row r="19" spans="2:4" x14ac:dyDescent="0.2">
      <c r="B19" s="608"/>
      <c r="C19" s="256" t="s">
        <v>21</v>
      </c>
      <c r="D19" s="612" t="s">
        <v>3</v>
      </c>
    </row>
    <row r="20" spans="2:4" ht="12.75" thickBot="1" x14ac:dyDescent="0.25">
      <c r="B20" s="610"/>
      <c r="C20" s="348" t="s">
        <v>22</v>
      </c>
      <c r="D20" s="613" t="s">
        <v>3</v>
      </c>
    </row>
    <row r="21" spans="2:4" x14ac:dyDescent="0.2">
      <c r="B21" s="608"/>
    </row>
    <row r="22" spans="2:4" x14ac:dyDescent="0.2">
      <c r="B22" s="608"/>
    </row>
  </sheetData>
  <phoneticPr fontId="2" type="noConversion"/>
  <hyperlinks>
    <hyperlink ref="F6" r:id="rId1" display="ytm0802@naver.com" xr:uid="{1A5CD38F-CC48-4592-B10F-E7CCD48A3A82}"/>
    <hyperlink ref="D4" location="Index!A1" display="Index!A1" xr:uid="{617C3A48-B333-41FB-8B9D-D1CE32DE9048}"/>
    <hyperlink ref="D6" location="DCF!A1" display="DCF!A1" xr:uid="{0E95AD71-5533-4D21-9210-4D561ADF918C}"/>
    <hyperlink ref="D7" location="Sales!A1" display="Sales!A1" xr:uid="{05FFAB9D-DCCB-4815-8024-CACD5F4C9754}"/>
    <hyperlink ref="D8" location="'Sales Bridge'!A1" display="'Sales Bridge'!A1" xr:uid="{181D6F01-E523-442B-BEEF-C37CB0ABC241}"/>
    <hyperlink ref="D9" location="Cost!A1" display="Cost!A1" xr:uid="{E1BBE1BD-D1FC-40B0-8ED2-4347683506A9}"/>
    <hyperlink ref="D10" location="'CapEx,D&amp;A'!A1" display="'CapEx,D&amp;A'!A1" xr:uid="{2A9902A1-067F-469A-BD70-581E4E06F0E6}"/>
    <hyperlink ref="D11" location="Labor!A1" display="Labor!A1" xr:uid="{9396787C-6D85-4605-9017-D6AEFE3232B5}"/>
    <hyperlink ref="D12" location="NWC!A1" display="NWC!A1" xr:uid="{0C83EA65-CDC3-430F-B72A-31B74F74BE24}"/>
    <hyperlink ref="D13" location="BS!A1" display="BS!A1" xr:uid="{AB48D8BB-7A82-4FC7-B0DB-AA526507DDDD}"/>
    <hyperlink ref="D14" location="Dart_FS!A1" display="Dart_FS!A1" xr:uid="{E8B45288-1171-494F-8BDA-9652477EA110}"/>
    <hyperlink ref="D15" location="Dart_시장리서치!A1" display="Dart_시장리서치!A1" xr:uid="{FF7E745E-EE60-42A5-94F5-977A60C9E1CA}"/>
    <hyperlink ref="D16" location="Dart_Labor!A1" display="Dart_Labor!A1" xr:uid="{4FB0BFB1-B0AA-4247-A79A-A42C7E33D1CB}"/>
    <hyperlink ref="D17" location="Dart_Cost!A1" display="Dart_Cost!A1" xr:uid="{C402E920-2F23-475E-8143-754FFAC95355}"/>
    <hyperlink ref="D19" location="'Dart_중고차 Sales'!A1" display="'Dart_중고차 Sales'!A1" xr:uid="{FDA01AD7-30E5-4235-8B1E-164A927F86D4}"/>
    <hyperlink ref="D18" location="Dart_Sales!A1" display="Dart_Sales!A1" xr:uid="{02FFBCC3-292F-42A5-8638-C669F22933B5}"/>
    <hyperlink ref="D20" location="Dart_Capture!A1" display="Dart_Capture!A1" xr:uid="{7CA3480B-146A-4F53-86FD-CC974A016FE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03271-A35B-43A3-B423-8D63D8A49656}">
  <sheetPr>
    <tabColor rgb="FFC00000"/>
  </sheetPr>
  <dimension ref="B1:N146"/>
  <sheetViews>
    <sheetView showGridLines="0" topLeftCell="A36" workbookViewId="0">
      <selection activeCell="B150" sqref="B150"/>
    </sheetView>
  </sheetViews>
  <sheetFormatPr defaultColWidth="9.28515625" defaultRowHeight="12" outlineLevelRow="1" outlineLevelCol="1" x14ac:dyDescent="0.2"/>
  <cols>
    <col min="1" max="1" width="1.7109375" style="1" customWidth="1"/>
    <col min="2" max="2" width="29" style="1" bestFit="1" customWidth="1"/>
    <col min="3" max="3" width="10.42578125" style="1" bestFit="1" customWidth="1"/>
    <col min="4" max="4" width="9" style="1" customWidth="1" outlineLevel="1"/>
    <col min="5" max="6" width="10.42578125" style="1" customWidth="1" outlineLevel="1"/>
    <col min="7" max="8" width="9" style="1" customWidth="1" outlineLevel="1"/>
    <col min="9" max="9" width="10.42578125" style="1" customWidth="1" outlineLevel="1"/>
    <col min="10" max="14" width="10.42578125" style="1" bestFit="1" customWidth="1"/>
    <col min="15" max="16384" width="9.28515625" style="1"/>
  </cols>
  <sheetData>
    <row r="1" spans="2:14" ht="15" x14ac:dyDescent="0.2">
      <c r="B1" s="25" t="s">
        <v>23</v>
      </c>
      <c r="C1" s="25"/>
      <c r="D1" s="25"/>
    </row>
    <row r="2" spans="2:14" x14ac:dyDescent="0.2">
      <c r="B2" s="408"/>
      <c r="C2" s="408"/>
      <c r="D2" s="408"/>
    </row>
    <row r="3" spans="2:14" x14ac:dyDescent="0.2">
      <c r="B3" s="631" t="s">
        <v>24</v>
      </c>
      <c r="C3" s="629">
        <f>DCF!E39</f>
        <v>1786998.2575492465</v>
      </c>
    </row>
    <row r="4" spans="2:14" x14ac:dyDescent="0.2">
      <c r="B4" s="632" t="s">
        <v>25</v>
      </c>
      <c r="C4" s="630">
        <f>DCF!E43</f>
        <v>38115.011370831213</v>
      </c>
    </row>
    <row r="5" spans="2:14" x14ac:dyDescent="0.2">
      <c r="B5" s="633"/>
      <c r="C5" s="634"/>
    </row>
    <row r="6" spans="2:14" x14ac:dyDescent="0.2">
      <c r="D6" s="242" t="s">
        <v>26</v>
      </c>
      <c r="E6" s="242"/>
      <c r="F6" s="242"/>
      <c r="G6" s="242"/>
      <c r="H6" s="640" t="s">
        <v>27</v>
      </c>
      <c r="I6" s="243"/>
      <c r="J6" s="243" t="s">
        <v>28</v>
      </c>
      <c r="K6" s="241"/>
      <c r="L6" s="241"/>
      <c r="M6" s="241"/>
      <c r="N6" s="241"/>
    </row>
    <row r="7" spans="2:14" x14ac:dyDescent="0.2">
      <c r="B7" s="117" t="s">
        <v>29</v>
      </c>
      <c r="C7" s="117"/>
      <c r="D7" s="117">
        <v>2018</v>
      </c>
      <c r="E7" s="117">
        <v>2019</v>
      </c>
      <c r="F7" s="117">
        <v>2020</v>
      </c>
      <c r="G7" s="197" t="s">
        <v>30</v>
      </c>
      <c r="H7" s="359" t="s">
        <v>31</v>
      </c>
      <c r="I7" s="198">
        <v>2021</v>
      </c>
      <c r="J7" s="118">
        <v>2022</v>
      </c>
      <c r="K7" s="118">
        <f>J7+1</f>
        <v>2023</v>
      </c>
      <c r="L7" s="118">
        <f>K7+1</f>
        <v>2024</v>
      </c>
      <c r="M7" s="118">
        <f>L7+1</f>
        <v>2025</v>
      </c>
      <c r="N7" s="118">
        <f>M7+1</f>
        <v>2026</v>
      </c>
    </row>
    <row r="8" spans="2:14" x14ac:dyDescent="0.2">
      <c r="B8" s="93" t="s">
        <v>7</v>
      </c>
      <c r="C8" s="93"/>
      <c r="D8" s="122">
        <f>DCF!D5</f>
        <v>742803</v>
      </c>
      <c r="E8" s="122">
        <f>DCF!E5</f>
        <v>1185356</v>
      </c>
      <c r="F8" s="122">
        <f>DCF!F5</f>
        <v>1323114</v>
      </c>
      <c r="G8" s="636">
        <f>DCF!G5</f>
        <v>910585</v>
      </c>
      <c r="H8" s="487">
        <f>DCF!H5</f>
        <v>910585</v>
      </c>
      <c r="I8" s="488">
        <f>DCF!I5</f>
        <v>1821170</v>
      </c>
      <c r="J8" s="122">
        <f>DCF!J5</f>
        <v>1902459.0171767864</v>
      </c>
      <c r="K8" s="122">
        <f>DCF!K5</f>
        <v>2256380.0214478867</v>
      </c>
      <c r="L8" s="122">
        <f>DCF!L5</f>
        <v>2679613.4966645511</v>
      </c>
      <c r="M8" s="122">
        <f>DCF!M5</f>
        <v>3186171.832301327</v>
      </c>
      <c r="N8" s="122">
        <f>DCF!N5</f>
        <v>3792952.9446530836</v>
      </c>
    </row>
    <row r="9" spans="2:14" x14ac:dyDescent="0.2">
      <c r="B9" s="93" t="s">
        <v>32</v>
      </c>
      <c r="C9" s="93"/>
      <c r="D9" s="122">
        <f>DCF!D14</f>
        <v>18098.116000000158</v>
      </c>
      <c r="E9" s="122">
        <f>DCF!E14</f>
        <v>42742.643000000244</v>
      </c>
      <c r="F9" s="122">
        <f>DCF!F14</f>
        <v>53572.583000000173</v>
      </c>
      <c r="G9" s="636">
        <f>DCF!G14</f>
        <v>58203.291000000172</v>
      </c>
      <c r="H9" s="487">
        <f>DCF!H14</f>
        <v>58203.291000000172</v>
      </c>
      <c r="I9" s="488">
        <f>DCF!I14</f>
        <v>116406.58200000034</v>
      </c>
      <c r="J9" s="122">
        <f>DCF!J14</f>
        <v>149588.77306092024</v>
      </c>
      <c r="K9" s="122">
        <f>DCF!K14</f>
        <v>175638.60630781786</v>
      </c>
      <c r="L9" s="122">
        <f>DCF!L14</f>
        <v>205804.21702080866</v>
      </c>
      <c r="M9" s="122">
        <f>DCF!M14</f>
        <v>240829.05657257</v>
      </c>
      <c r="N9" s="122">
        <f>DCF!N14</f>
        <v>282570.98977383377</v>
      </c>
    </row>
    <row r="10" spans="2:14" ht="12.75" thickBot="1" x14ac:dyDescent="0.25">
      <c r="B10" s="196" t="s">
        <v>33</v>
      </c>
      <c r="C10" s="196"/>
      <c r="D10" s="635">
        <f>DCF!D23</f>
        <v>9548.2327076801266</v>
      </c>
      <c r="E10" s="635">
        <f>DCF!E23</f>
        <v>8606.3950160962049</v>
      </c>
      <c r="F10" s="635">
        <f>DCF!F23</f>
        <v>33697.410271856148</v>
      </c>
      <c r="G10" s="637">
        <f>DCF!G23</f>
        <v>53519.879887312054</v>
      </c>
      <c r="H10" s="638">
        <f>DCF!H23</f>
        <v>46847.129732312125</v>
      </c>
      <c r="I10" s="639">
        <f>DCF!I23</f>
        <v>100367.00961962418</v>
      </c>
      <c r="J10" s="635">
        <f>DCF!J23</f>
        <v>46648.238608159751</v>
      </c>
      <c r="K10" s="635">
        <f>DCF!K23</f>
        <v>113334.53576428711</v>
      </c>
      <c r="L10" s="635">
        <f>DCF!L23</f>
        <v>113561.94829358647</v>
      </c>
      <c r="M10" s="635">
        <f>DCF!M23</f>
        <v>130592.33085932746</v>
      </c>
      <c r="N10" s="635">
        <f>DCF!N23</f>
        <v>150980.08209073532</v>
      </c>
    </row>
    <row r="12" spans="2:14" ht="12.75" thickBot="1" x14ac:dyDescent="0.25"/>
    <row r="13" spans="2:14" s="676" customFormat="1" ht="12.75" thickBot="1" x14ac:dyDescent="0.25">
      <c r="B13" s="675" t="s">
        <v>34</v>
      </c>
      <c r="C13" s="675"/>
      <c r="D13" s="675"/>
      <c r="E13" s="675"/>
      <c r="J13" s="672">
        <v>2022</v>
      </c>
      <c r="K13" s="673">
        <f>J13+1</f>
        <v>2023</v>
      </c>
      <c r="L13" s="673">
        <f t="shared" ref="L13:N13" si="0">K13+1</f>
        <v>2024</v>
      </c>
      <c r="M13" s="673">
        <f t="shared" si="0"/>
        <v>2025</v>
      </c>
      <c r="N13" s="674">
        <f t="shared" si="0"/>
        <v>2026</v>
      </c>
    </row>
    <row r="15" spans="2:14" hidden="1" outlineLevel="1" x14ac:dyDescent="0.2">
      <c r="B15" s="171" t="s">
        <v>35</v>
      </c>
      <c r="C15" s="190"/>
      <c r="D15" s="190"/>
      <c r="E15" s="615"/>
      <c r="F15" s="615"/>
      <c r="G15" s="615"/>
      <c r="H15" s="615"/>
      <c r="I15" s="615"/>
      <c r="J15" s="615">
        <v>0.01</v>
      </c>
      <c r="K15" s="615">
        <v>0.01</v>
      </c>
      <c r="L15" s="615">
        <v>0.01</v>
      </c>
      <c r="M15" s="615">
        <v>0.01</v>
      </c>
      <c r="N15" s="616">
        <v>0.01</v>
      </c>
    </row>
    <row r="16" spans="2:14" hidden="1" outlineLevel="1" x14ac:dyDescent="0.2">
      <c r="B16" s="175" t="s">
        <v>36</v>
      </c>
      <c r="E16" s="617"/>
      <c r="F16" s="617"/>
      <c r="G16" s="617"/>
      <c r="H16" s="617"/>
      <c r="I16" s="617"/>
      <c r="J16" s="617">
        <v>0.1</v>
      </c>
      <c r="K16" s="617">
        <v>0.1</v>
      </c>
      <c r="L16" s="617">
        <v>0.1</v>
      </c>
      <c r="M16" s="617">
        <v>0.1</v>
      </c>
      <c r="N16" s="618">
        <v>0.1</v>
      </c>
    </row>
    <row r="17" spans="2:14" hidden="1" outlineLevel="1" x14ac:dyDescent="0.2">
      <c r="B17" s="176" t="s">
        <v>37</v>
      </c>
      <c r="C17" s="619"/>
      <c r="D17" s="619"/>
      <c r="E17" s="620"/>
      <c r="F17" s="620"/>
      <c r="G17" s="620"/>
      <c r="H17" s="620"/>
      <c r="I17" s="620"/>
      <c r="J17" s="620">
        <v>0.6</v>
      </c>
      <c r="K17" s="620">
        <v>0.6</v>
      </c>
      <c r="L17" s="620">
        <v>0.6</v>
      </c>
      <c r="M17" s="620">
        <v>0.6</v>
      </c>
      <c r="N17" s="621">
        <v>0.6</v>
      </c>
    </row>
    <row r="18" spans="2:14" hidden="1" outlineLevel="1" x14ac:dyDescent="0.2">
      <c r="B18" s="171" t="s">
        <v>38</v>
      </c>
      <c r="C18" s="190"/>
      <c r="D18" s="190"/>
      <c r="E18" s="615"/>
      <c r="F18" s="615"/>
      <c r="G18" s="615"/>
      <c r="H18" s="615"/>
      <c r="I18" s="615"/>
      <c r="J18" s="615">
        <v>0.01</v>
      </c>
      <c r="K18" s="615">
        <v>0.01</v>
      </c>
      <c r="L18" s="615">
        <v>0.01</v>
      </c>
      <c r="M18" s="615">
        <v>0.01</v>
      </c>
      <c r="N18" s="616">
        <v>0.01</v>
      </c>
    </row>
    <row r="19" spans="2:14" hidden="1" outlineLevel="1" x14ac:dyDescent="0.2">
      <c r="B19" s="175" t="s">
        <v>39</v>
      </c>
      <c r="E19" s="617"/>
      <c r="F19" s="617"/>
      <c r="G19" s="617"/>
      <c r="H19" s="617"/>
      <c r="I19" s="617"/>
      <c r="J19" s="617">
        <v>0.1</v>
      </c>
      <c r="K19" s="617">
        <v>0.1</v>
      </c>
      <c r="L19" s="617">
        <v>0.1</v>
      </c>
      <c r="M19" s="617">
        <v>0.1</v>
      </c>
      <c r="N19" s="618">
        <v>0.1</v>
      </c>
    </row>
    <row r="20" spans="2:14" hidden="1" outlineLevel="1" x14ac:dyDescent="0.2">
      <c r="B20" s="176" t="s">
        <v>40</v>
      </c>
      <c r="C20" s="619"/>
      <c r="D20" s="619"/>
      <c r="E20" s="620"/>
      <c r="F20" s="620"/>
      <c r="G20" s="620"/>
      <c r="H20" s="620"/>
      <c r="I20" s="620"/>
      <c r="J20" s="620">
        <v>0.6</v>
      </c>
      <c r="K20" s="620">
        <v>0.6</v>
      </c>
      <c r="L20" s="620">
        <v>0.6</v>
      </c>
      <c r="M20" s="620">
        <v>0.6</v>
      </c>
      <c r="N20" s="621">
        <v>0.6</v>
      </c>
    </row>
    <row r="21" spans="2:14" hidden="1" outlineLevel="1" x14ac:dyDescent="0.2">
      <c r="B21" s="171" t="s">
        <v>41</v>
      </c>
      <c r="C21" s="190"/>
      <c r="D21" s="190"/>
      <c r="E21" s="615"/>
      <c r="F21" s="615"/>
      <c r="G21" s="615"/>
      <c r="H21" s="615"/>
      <c r="I21" s="615"/>
      <c r="J21" s="615">
        <v>0.01</v>
      </c>
      <c r="K21" s="615">
        <v>0.01</v>
      </c>
      <c r="L21" s="615">
        <v>0.01</v>
      </c>
      <c r="M21" s="615">
        <v>0.01</v>
      </c>
      <c r="N21" s="616">
        <v>0.01</v>
      </c>
    </row>
    <row r="22" spans="2:14" hidden="1" outlineLevel="1" x14ac:dyDescent="0.2">
      <c r="B22" s="175" t="s">
        <v>42</v>
      </c>
      <c r="E22" s="617"/>
      <c r="F22" s="617"/>
      <c r="G22" s="617"/>
      <c r="H22" s="617"/>
      <c r="I22" s="617"/>
      <c r="J22" s="617">
        <v>0.1</v>
      </c>
      <c r="K22" s="617">
        <v>0.1</v>
      </c>
      <c r="L22" s="617">
        <v>0.1</v>
      </c>
      <c r="M22" s="617">
        <v>0.1</v>
      </c>
      <c r="N22" s="618">
        <v>0.1</v>
      </c>
    </row>
    <row r="23" spans="2:14" hidden="1" outlineLevel="1" x14ac:dyDescent="0.2">
      <c r="B23" s="176" t="s">
        <v>43</v>
      </c>
      <c r="C23" s="619"/>
      <c r="D23" s="619"/>
      <c r="E23" s="620"/>
      <c r="F23" s="620"/>
      <c r="G23" s="620"/>
      <c r="H23" s="620"/>
      <c r="I23" s="620"/>
      <c r="J23" s="620">
        <v>0.6</v>
      </c>
      <c r="K23" s="620">
        <v>0.6</v>
      </c>
      <c r="L23" s="620">
        <v>0.6</v>
      </c>
      <c r="M23" s="620">
        <v>0.6</v>
      </c>
      <c r="N23" s="621">
        <v>0.6</v>
      </c>
    </row>
    <row r="24" spans="2:14" hidden="1" outlineLevel="1" x14ac:dyDescent="0.2">
      <c r="B24" s="171" t="s">
        <v>44</v>
      </c>
      <c r="C24" s="190"/>
      <c r="D24" s="190"/>
      <c r="E24" s="615"/>
      <c r="F24" s="615"/>
      <c r="G24" s="615"/>
      <c r="H24" s="615"/>
      <c r="I24" s="615"/>
      <c r="J24" s="615">
        <v>0.01</v>
      </c>
      <c r="K24" s="615">
        <v>0.01</v>
      </c>
      <c r="L24" s="615">
        <v>0.01</v>
      </c>
      <c r="M24" s="615">
        <v>0.01</v>
      </c>
      <c r="N24" s="616">
        <v>0.01</v>
      </c>
    </row>
    <row r="25" spans="2:14" hidden="1" outlineLevel="1" x14ac:dyDescent="0.2">
      <c r="B25" s="175" t="s">
        <v>45</v>
      </c>
      <c r="E25" s="617"/>
      <c r="F25" s="617"/>
      <c r="G25" s="617"/>
      <c r="H25" s="617"/>
      <c r="I25" s="617"/>
      <c r="J25" s="617">
        <v>0.2</v>
      </c>
      <c r="K25" s="617">
        <v>0.2</v>
      </c>
      <c r="L25" s="617">
        <v>0.2</v>
      </c>
      <c r="M25" s="617">
        <v>0.2</v>
      </c>
      <c r="N25" s="618">
        <v>0.2</v>
      </c>
    </row>
    <row r="26" spans="2:14" hidden="1" outlineLevel="1" x14ac:dyDescent="0.2">
      <c r="B26" s="176" t="s">
        <v>46</v>
      </c>
      <c r="C26" s="619"/>
      <c r="D26" s="619"/>
      <c r="E26" s="620"/>
      <c r="F26" s="620"/>
      <c r="G26" s="620"/>
      <c r="H26" s="620"/>
      <c r="I26" s="620"/>
      <c r="J26" s="620">
        <v>0.6</v>
      </c>
      <c r="K26" s="620">
        <v>0.6</v>
      </c>
      <c r="L26" s="620">
        <v>0.6</v>
      </c>
      <c r="M26" s="620">
        <v>0.6</v>
      </c>
      <c r="N26" s="621">
        <v>0.6</v>
      </c>
    </row>
    <row r="27" spans="2:14" hidden="1" outlineLevel="1" x14ac:dyDescent="0.2">
      <c r="B27" s="171" t="s">
        <v>47</v>
      </c>
      <c r="C27" s="190"/>
      <c r="D27" s="190"/>
      <c r="E27" s="615"/>
      <c r="F27" s="615"/>
      <c r="G27" s="615"/>
      <c r="H27" s="615"/>
      <c r="I27" s="615"/>
      <c r="J27" s="615">
        <v>0.01</v>
      </c>
      <c r="K27" s="615">
        <v>0.01</v>
      </c>
      <c r="L27" s="615">
        <v>0.01</v>
      </c>
      <c r="M27" s="615">
        <v>0.01</v>
      </c>
      <c r="N27" s="616">
        <v>0.01</v>
      </c>
    </row>
    <row r="28" spans="2:14" hidden="1" outlineLevel="1" x14ac:dyDescent="0.2">
      <c r="B28" s="175" t="s">
        <v>48</v>
      </c>
      <c r="E28" s="617"/>
      <c r="F28" s="617"/>
      <c r="G28" s="617"/>
      <c r="H28" s="617"/>
      <c r="I28" s="617"/>
      <c r="J28" s="617">
        <v>0.2</v>
      </c>
      <c r="K28" s="617">
        <v>0.2</v>
      </c>
      <c r="L28" s="617">
        <v>0.2</v>
      </c>
      <c r="M28" s="617">
        <v>0.2</v>
      </c>
      <c r="N28" s="618">
        <v>0.2</v>
      </c>
    </row>
    <row r="29" spans="2:14" hidden="1" outlineLevel="1" x14ac:dyDescent="0.2">
      <c r="B29" s="176" t="s">
        <v>49</v>
      </c>
      <c r="C29" s="619"/>
      <c r="D29" s="619"/>
      <c r="E29" s="620"/>
      <c r="F29" s="620"/>
      <c r="G29" s="620"/>
      <c r="H29" s="620"/>
      <c r="I29" s="620"/>
      <c r="J29" s="620">
        <v>0.6</v>
      </c>
      <c r="K29" s="620">
        <v>0.6</v>
      </c>
      <c r="L29" s="620">
        <v>0.6</v>
      </c>
      <c r="M29" s="620">
        <v>0.6</v>
      </c>
      <c r="N29" s="621">
        <v>0.6</v>
      </c>
    </row>
    <row r="30" spans="2:14" hidden="1" outlineLevel="1" x14ac:dyDescent="0.2">
      <c r="B30" s="171" t="s">
        <v>50</v>
      </c>
      <c r="C30" s="190"/>
      <c r="D30" s="190"/>
      <c r="E30" s="615"/>
      <c r="F30" s="615"/>
      <c r="G30" s="615"/>
      <c r="H30" s="615"/>
      <c r="I30" s="615"/>
      <c r="J30" s="615">
        <v>0.01</v>
      </c>
      <c r="K30" s="615">
        <v>0.01</v>
      </c>
      <c r="L30" s="615">
        <v>0.01</v>
      </c>
      <c r="M30" s="615">
        <v>0.01</v>
      </c>
      <c r="N30" s="616">
        <v>0.01</v>
      </c>
    </row>
    <row r="31" spans="2:14" hidden="1" outlineLevel="1" x14ac:dyDescent="0.2">
      <c r="B31" s="175" t="s">
        <v>51</v>
      </c>
      <c r="E31" s="617"/>
      <c r="F31" s="617"/>
      <c r="G31" s="617"/>
      <c r="H31" s="617"/>
      <c r="I31" s="617"/>
      <c r="J31" s="617">
        <v>0.2</v>
      </c>
      <c r="K31" s="617">
        <v>0.2</v>
      </c>
      <c r="L31" s="617">
        <v>0.2</v>
      </c>
      <c r="M31" s="617">
        <v>0.2</v>
      </c>
      <c r="N31" s="618">
        <v>0.2</v>
      </c>
    </row>
    <row r="32" spans="2:14" hidden="1" outlineLevel="1" x14ac:dyDescent="0.2">
      <c r="B32" s="176" t="s">
        <v>52</v>
      </c>
      <c r="C32" s="619"/>
      <c r="D32" s="619"/>
      <c r="E32" s="620"/>
      <c r="F32" s="620"/>
      <c r="G32" s="620"/>
      <c r="H32" s="620"/>
      <c r="I32" s="620"/>
      <c r="J32" s="620">
        <v>0.6</v>
      </c>
      <c r="K32" s="620">
        <v>0.6</v>
      </c>
      <c r="L32" s="620">
        <v>0.6</v>
      </c>
      <c r="M32" s="620">
        <v>0.6</v>
      </c>
      <c r="N32" s="621">
        <v>0.6</v>
      </c>
    </row>
    <row r="33" spans="2:14" hidden="1" outlineLevel="1" x14ac:dyDescent="0.2">
      <c r="B33" s="171" t="s">
        <v>53</v>
      </c>
      <c r="C33" s="190"/>
      <c r="D33" s="190"/>
      <c r="E33" s="615"/>
      <c r="F33" s="615"/>
      <c r="G33" s="615"/>
      <c r="H33" s="615"/>
      <c r="I33" s="615"/>
      <c r="J33" s="615">
        <v>0.01</v>
      </c>
      <c r="K33" s="615">
        <v>0.01</v>
      </c>
      <c r="L33" s="615">
        <v>0.01</v>
      </c>
      <c r="M33" s="615">
        <v>0.01</v>
      </c>
      <c r="N33" s="616">
        <v>0.01</v>
      </c>
    </row>
    <row r="34" spans="2:14" hidden="1" outlineLevel="1" x14ac:dyDescent="0.2">
      <c r="B34" s="175" t="s">
        <v>54</v>
      </c>
      <c r="E34" s="617"/>
      <c r="F34" s="617"/>
      <c r="G34" s="617"/>
      <c r="H34" s="617"/>
      <c r="I34" s="617"/>
      <c r="J34" s="617">
        <v>0.2</v>
      </c>
      <c r="K34" s="617">
        <v>0.2</v>
      </c>
      <c r="L34" s="617">
        <v>0.2</v>
      </c>
      <c r="M34" s="617">
        <v>0.2</v>
      </c>
      <c r="N34" s="618">
        <v>0.2</v>
      </c>
    </row>
    <row r="35" spans="2:14" hidden="1" outlineLevel="1" x14ac:dyDescent="0.2">
      <c r="B35" s="176" t="s">
        <v>55</v>
      </c>
      <c r="C35" s="619"/>
      <c r="D35" s="619"/>
      <c r="E35" s="620"/>
      <c r="F35" s="620"/>
      <c r="G35" s="620"/>
      <c r="H35" s="620"/>
      <c r="I35" s="620"/>
      <c r="J35" s="620">
        <v>0.6</v>
      </c>
      <c r="K35" s="620">
        <v>0.6</v>
      </c>
      <c r="L35" s="620">
        <v>0.6</v>
      </c>
      <c r="M35" s="620">
        <v>0.6</v>
      </c>
      <c r="N35" s="621">
        <v>0.6</v>
      </c>
    </row>
    <row r="36" spans="2:14" ht="12.75" collapsed="1" thickBot="1" x14ac:dyDescent="0.25"/>
    <row r="37" spans="2:14" s="676" customFormat="1" ht="12.75" thickBot="1" x14ac:dyDescent="0.25">
      <c r="B37" s="675" t="s">
        <v>56</v>
      </c>
      <c r="C37" s="675"/>
      <c r="D37" s="675"/>
      <c r="E37" s="675"/>
      <c r="J37" s="672">
        <v>2022</v>
      </c>
      <c r="K37" s="673">
        <f>J37+1</f>
        <v>2023</v>
      </c>
      <c r="L37" s="673">
        <f t="shared" ref="L37:N37" si="1">K37+1</f>
        <v>2024</v>
      </c>
      <c r="M37" s="673">
        <f t="shared" si="1"/>
        <v>2025</v>
      </c>
      <c r="N37" s="674">
        <f t="shared" si="1"/>
        <v>2026</v>
      </c>
    </row>
    <row r="39" spans="2:14" hidden="1" outlineLevel="1" x14ac:dyDescent="0.2">
      <c r="B39" s="171" t="s">
        <v>57</v>
      </c>
      <c r="C39" s="190"/>
      <c r="D39" s="190"/>
      <c r="E39" s="615"/>
      <c r="F39" s="615"/>
      <c r="G39" s="615"/>
      <c r="H39" s="615"/>
      <c r="I39" s="615"/>
      <c r="J39" s="615">
        <v>0.01</v>
      </c>
      <c r="K39" s="615">
        <v>0.01</v>
      </c>
      <c r="L39" s="615">
        <v>0.01</v>
      </c>
      <c r="M39" s="615">
        <v>0.01</v>
      </c>
      <c r="N39" s="616">
        <v>0.01</v>
      </c>
    </row>
    <row r="40" spans="2:14" hidden="1" outlineLevel="1" x14ac:dyDescent="0.2">
      <c r="B40" s="175" t="s">
        <v>58</v>
      </c>
      <c r="E40" s="617"/>
      <c r="F40" s="617"/>
      <c r="G40" s="617"/>
      <c r="H40" s="617"/>
      <c r="I40" s="617"/>
      <c r="J40" s="617">
        <v>0.2</v>
      </c>
      <c r="K40" s="617">
        <v>0.2</v>
      </c>
      <c r="L40" s="617">
        <v>0.2</v>
      </c>
      <c r="M40" s="617">
        <v>0.2</v>
      </c>
      <c r="N40" s="618">
        <v>0.2</v>
      </c>
    </row>
    <row r="41" spans="2:14" hidden="1" outlineLevel="1" x14ac:dyDescent="0.2">
      <c r="B41" s="176" t="s">
        <v>59</v>
      </c>
      <c r="C41" s="619"/>
      <c r="D41" s="619"/>
      <c r="E41" s="620"/>
      <c r="F41" s="620"/>
      <c r="G41" s="620"/>
      <c r="H41" s="620"/>
      <c r="I41" s="620"/>
      <c r="J41" s="620">
        <v>0.02</v>
      </c>
      <c r="K41" s="620">
        <v>0.02</v>
      </c>
      <c r="L41" s="620">
        <v>0.02</v>
      </c>
      <c r="M41" s="620">
        <v>0.02</v>
      </c>
      <c r="N41" s="621">
        <v>0.02</v>
      </c>
    </row>
    <row r="42" spans="2:14" hidden="1" outlineLevel="1" x14ac:dyDescent="0.2">
      <c r="B42" s="171" t="s">
        <v>60</v>
      </c>
      <c r="C42" s="190"/>
      <c r="D42" s="190"/>
      <c r="E42" s="615"/>
      <c r="F42" s="615"/>
      <c r="G42" s="615"/>
      <c r="H42" s="615"/>
      <c r="I42" s="615"/>
      <c r="J42" s="615">
        <v>0.01</v>
      </c>
      <c r="K42" s="615">
        <v>0.01</v>
      </c>
      <c r="L42" s="615">
        <v>0.01</v>
      </c>
      <c r="M42" s="615">
        <v>0.01</v>
      </c>
      <c r="N42" s="616">
        <v>0.01</v>
      </c>
    </row>
    <row r="43" spans="2:14" hidden="1" outlineLevel="1" x14ac:dyDescent="0.2">
      <c r="B43" s="175" t="s">
        <v>61</v>
      </c>
      <c r="E43" s="617"/>
      <c r="F43" s="617"/>
      <c r="G43" s="617"/>
      <c r="H43" s="617"/>
      <c r="I43" s="617"/>
      <c r="J43" s="617">
        <v>0.2</v>
      </c>
      <c r="K43" s="617">
        <v>0.2</v>
      </c>
      <c r="L43" s="617">
        <v>0.2</v>
      </c>
      <c r="M43" s="617">
        <v>0.2</v>
      </c>
      <c r="N43" s="618">
        <v>0.2</v>
      </c>
    </row>
    <row r="44" spans="2:14" hidden="1" outlineLevel="1" x14ac:dyDescent="0.2">
      <c r="B44" s="176" t="s">
        <v>62</v>
      </c>
      <c r="C44" s="619"/>
      <c r="D44" s="619"/>
      <c r="E44" s="620"/>
      <c r="F44" s="620"/>
      <c r="G44" s="620"/>
      <c r="H44" s="620"/>
      <c r="I44" s="620"/>
      <c r="J44" s="620">
        <v>0.02</v>
      </c>
      <c r="K44" s="620">
        <v>0.02</v>
      </c>
      <c r="L44" s="620">
        <v>0.02</v>
      </c>
      <c r="M44" s="620">
        <v>0.02</v>
      </c>
      <c r="N44" s="621">
        <v>0.02</v>
      </c>
    </row>
    <row r="45" spans="2:14" hidden="1" outlineLevel="1" x14ac:dyDescent="0.2">
      <c r="B45" s="171" t="s">
        <v>63</v>
      </c>
      <c r="C45" s="190"/>
      <c r="D45" s="190"/>
      <c r="E45" s="615"/>
      <c r="F45" s="615"/>
      <c r="G45" s="615"/>
      <c r="H45" s="615"/>
      <c r="I45" s="615"/>
      <c r="J45" s="615">
        <v>0.01</v>
      </c>
      <c r="K45" s="615">
        <v>0.01</v>
      </c>
      <c r="L45" s="615">
        <v>0.01</v>
      </c>
      <c r="M45" s="615">
        <v>0.01</v>
      </c>
      <c r="N45" s="616">
        <v>0.01</v>
      </c>
    </row>
    <row r="46" spans="2:14" hidden="1" outlineLevel="1" x14ac:dyDescent="0.2">
      <c r="B46" s="175" t="s">
        <v>64</v>
      </c>
      <c r="E46" s="617"/>
      <c r="F46" s="617"/>
      <c r="G46" s="617"/>
      <c r="H46" s="617"/>
      <c r="I46" s="617"/>
      <c r="J46" s="617">
        <v>0.2</v>
      </c>
      <c r="K46" s="617">
        <v>0.2</v>
      </c>
      <c r="L46" s="617">
        <v>0.2</v>
      </c>
      <c r="M46" s="617">
        <v>0.2</v>
      </c>
      <c r="N46" s="618">
        <v>0.2</v>
      </c>
    </row>
    <row r="47" spans="2:14" hidden="1" outlineLevel="1" x14ac:dyDescent="0.2">
      <c r="B47" s="176" t="s">
        <v>65</v>
      </c>
      <c r="C47" s="619"/>
      <c r="D47" s="619"/>
      <c r="E47" s="620"/>
      <c r="F47" s="620"/>
      <c r="G47" s="620"/>
      <c r="H47" s="620"/>
      <c r="I47" s="620"/>
      <c r="J47" s="620">
        <v>0.02</v>
      </c>
      <c r="K47" s="620">
        <v>0.02</v>
      </c>
      <c r="L47" s="620">
        <v>0.02</v>
      </c>
      <c r="M47" s="620">
        <v>0.02</v>
      </c>
      <c r="N47" s="621">
        <v>0.02</v>
      </c>
    </row>
    <row r="48" spans="2:14" hidden="1" outlineLevel="1" x14ac:dyDescent="0.2">
      <c r="B48" s="171" t="s">
        <v>66</v>
      </c>
      <c r="C48" s="190"/>
      <c r="D48" s="190"/>
      <c r="E48" s="615"/>
      <c r="F48" s="615"/>
      <c r="G48" s="615"/>
      <c r="H48" s="615"/>
      <c r="I48" s="615"/>
      <c r="J48" s="615">
        <v>0.01</v>
      </c>
      <c r="K48" s="615">
        <v>0.01</v>
      </c>
      <c r="L48" s="615">
        <v>0.01</v>
      </c>
      <c r="M48" s="615">
        <v>0.01</v>
      </c>
      <c r="N48" s="616">
        <v>0.01</v>
      </c>
    </row>
    <row r="49" spans="2:14" hidden="1" outlineLevel="1" x14ac:dyDescent="0.2">
      <c r="B49" s="175" t="s">
        <v>67</v>
      </c>
      <c r="E49" s="617"/>
      <c r="F49" s="617"/>
      <c r="G49" s="617"/>
      <c r="H49" s="617"/>
      <c r="I49" s="617"/>
      <c r="J49" s="617">
        <v>0.2</v>
      </c>
      <c r="K49" s="617">
        <v>0.2</v>
      </c>
      <c r="L49" s="617">
        <v>0.2</v>
      </c>
      <c r="M49" s="617">
        <v>0.2</v>
      </c>
      <c r="N49" s="618">
        <v>0.2</v>
      </c>
    </row>
    <row r="50" spans="2:14" hidden="1" outlineLevel="1" x14ac:dyDescent="0.2">
      <c r="B50" s="176" t="s">
        <v>68</v>
      </c>
      <c r="C50" s="619"/>
      <c r="D50" s="619"/>
      <c r="E50" s="620"/>
      <c r="F50" s="620"/>
      <c r="G50" s="620"/>
      <c r="H50" s="620"/>
      <c r="I50" s="620"/>
      <c r="J50" s="620">
        <v>0.02</v>
      </c>
      <c r="K50" s="620">
        <v>0.02</v>
      </c>
      <c r="L50" s="620">
        <v>0.02</v>
      </c>
      <c r="M50" s="620">
        <v>0.02</v>
      </c>
      <c r="N50" s="621">
        <v>0.02</v>
      </c>
    </row>
    <row r="51" spans="2:14" hidden="1" outlineLevel="1" x14ac:dyDescent="0.2">
      <c r="B51" s="171" t="s">
        <v>69</v>
      </c>
      <c r="C51" s="190"/>
      <c r="D51" s="190"/>
      <c r="E51" s="615"/>
      <c r="F51" s="615"/>
      <c r="G51" s="615"/>
      <c r="H51" s="615"/>
      <c r="I51" s="615"/>
      <c r="J51" s="615">
        <v>0.01</v>
      </c>
      <c r="K51" s="615">
        <v>0.01</v>
      </c>
      <c r="L51" s="615">
        <v>0.01</v>
      </c>
      <c r="M51" s="615">
        <v>0.01</v>
      </c>
      <c r="N51" s="616">
        <v>0.01</v>
      </c>
    </row>
    <row r="52" spans="2:14" hidden="1" outlineLevel="1" x14ac:dyDescent="0.2">
      <c r="B52" s="175" t="s">
        <v>70</v>
      </c>
      <c r="E52" s="617"/>
      <c r="F52" s="617"/>
      <c r="G52" s="617"/>
      <c r="H52" s="617"/>
      <c r="I52" s="617"/>
      <c r="J52" s="617">
        <v>0.2</v>
      </c>
      <c r="K52" s="617">
        <v>0.2</v>
      </c>
      <c r="L52" s="617">
        <v>0.2</v>
      </c>
      <c r="M52" s="617">
        <v>0.2</v>
      </c>
      <c r="N52" s="618">
        <v>0.2</v>
      </c>
    </row>
    <row r="53" spans="2:14" hidden="1" outlineLevel="1" x14ac:dyDescent="0.2">
      <c r="B53" s="176" t="s">
        <v>71</v>
      </c>
      <c r="C53" s="619"/>
      <c r="D53" s="619"/>
      <c r="E53" s="620"/>
      <c r="F53" s="620"/>
      <c r="G53" s="620"/>
      <c r="H53" s="620"/>
      <c r="I53" s="620"/>
      <c r="J53" s="620">
        <v>0.02</v>
      </c>
      <c r="K53" s="620">
        <v>0.02</v>
      </c>
      <c r="L53" s="620">
        <v>0.02</v>
      </c>
      <c r="M53" s="620">
        <v>0.02</v>
      </c>
      <c r="N53" s="621">
        <v>0.02</v>
      </c>
    </row>
    <row r="54" spans="2:14" hidden="1" outlineLevel="1" x14ac:dyDescent="0.2">
      <c r="B54" s="171" t="s">
        <v>72</v>
      </c>
      <c r="C54" s="190"/>
      <c r="D54" s="190"/>
      <c r="E54" s="615"/>
      <c r="F54" s="615"/>
      <c r="G54" s="615"/>
      <c r="H54" s="615"/>
      <c r="I54" s="615"/>
      <c r="J54" s="615">
        <v>0.01</v>
      </c>
      <c r="K54" s="615">
        <v>0.01</v>
      </c>
      <c r="L54" s="615">
        <v>0.01</v>
      </c>
      <c r="M54" s="615">
        <v>0.01</v>
      </c>
      <c r="N54" s="616">
        <v>0.01</v>
      </c>
    </row>
    <row r="55" spans="2:14" hidden="1" outlineLevel="1" x14ac:dyDescent="0.2">
      <c r="B55" s="175" t="s">
        <v>73</v>
      </c>
      <c r="E55" s="617"/>
      <c r="F55" s="617"/>
      <c r="G55" s="617"/>
      <c r="H55" s="617"/>
      <c r="I55" s="617"/>
      <c r="J55" s="617">
        <v>0.2</v>
      </c>
      <c r="K55" s="617">
        <v>0.2</v>
      </c>
      <c r="L55" s="617">
        <v>0.2</v>
      </c>
      <c r="M55" s="617">
        <v>0.2</v>
      </c>
      <c r="N55" s="618">
        <v>0.2</v>
      </c>
    </row>
    <row r="56" spans="2:14" hidden="1" outlineLevel="1" x14ac:dyDescent="0.2">
      <c r="B56" s="176" t="s">
        <v>74</v>
      </c>
      <c r="C56" s="619"/>
      <c r="D56" s="619"/>
      <c r="E56" s="620"/>
      <c r="F56" s="620"/>
      <c r="G56" s="620"/>
      <c r="H56" s="620"/>
      <c r="I56" s="620"/>
      <c r="J56" s="620">
        <v>0.02</v>
      </c>
      <c r="K56" s="620">
        <v>0.02</v>
      </c>
      <c r="L56" s="620">
        <v>0.02</v>
      </c>
      <c r="M56" s="620">
        <v>0.02</v>
      </c>
      <c r="N56" s="621">
        <v>0.02</v>
      </c>
    </row>
    <row r="57" spans="2:14" hidden="1" outlineLevel="1" x14ac:dyDescent="0.2">
      <c r="B57" s="171" t="s">
        <v>75</v>
      </c>
      <c r="C57" s="190"/>
      <c r="D57" s="190"/>
      <c r="E57" s="615"/>
      <c r="F57" s="615"/>
      <c r="G57" s="615"/>
      <c r="H57" s="615"/>
      <c r="I57" s="615"/>
      <c r="J57" s="615">
        <v>0.01</v>
      </c>
      <c r="K57" s="615">
        <v>0.01</v>
      </c>
      <c r="L57" s="615">
        <v>0.01</v>
      </c>
      <c r="M57" s="615">
        <v>0.01</v>
      </c>
      <c r="N57" s="616">
        <v>0.01</v>
      </c>
    </row>
    <row r="58" spans="2:14" hidden="1" outlineLevel="1" x14ac:dyDescent="0.2">
      <c r="B58" s="175" t="s">
        <v>76</v>
      </c>
      <c r="E58" s="617"/>
      <c r="F58" s="617"/>
      <c r="G58" s="617"/>
      <c r="H58" s="617"/>
      <c r="I58" s="617"/>
      <c r="J58" s="617">
        <v>0.2</v>
      </c>
      <c r="K58" s="617">
        <v>0.2</v>
      </c>
      <c r="L58" s="617">
        <v>0.2</v>
      </c>
      <c r="M58" s="617">
        <v>0.2</v>
      </c>
      <c r="N58" s="618">
        <v>0.2</v>
      </c>
    </row>
    <row r="59" spans="2:14" hidden="1" outlineLevel="1" x14ac:dyDescent="0.2">
      <c r="B59" s="176" t="s">
        <v>77</v>
      </c>
      <c r="C59" s="619"/>
      <c r="D59" s="619"/>
      <c r="E59" s="620"/>
      <c r="F59" s="620"/>
      <c r="G59" s="620"/>
      <c r="H59" s="620"/>
      <c r="I59" s="620"/>
      <c r="J59" s="620">
        <v>0.02</v>
      </c>
      <c r="K59" s="620">
        <v>0.02</v>
      </c>
      <c r="L59" s="620">
        <v>0.02</v>
      </c>
      <c r="M59" s="620">
        <v>0.02</v>
      </c>
      <c r="N59" s="621">
        <v>0.02</v>
      </c>
    </row>
    <row r="60" spans="2:14" ht="12.75" collapsed="1" thickBot="1" x14ac:dyDescent="0.25"/>
    <row r="61" spans="2:14" s="676" customFormat="1" ht="12.75" thickBot="1" x14ac:dyDescent="0.25">
      <c r="B61" s="675" t="s">
        <v>78</v>
      </c>
      <c r="C61" s="675"/>
      <c r="D61" s="675"/>
      <c r="E61" s="675"/>
      <c r="J61" s="672">
        <v>2022</v>
      </c>
      <c r="K61" s="673">
        <f>J61+1</f>
        <v>2023</v>
      </c>
      <c r="L61" s="673">
        <f t="shared" ref="L61:N61" si="2">K61+1</f>
        <v>2024</v>
      </c>
      <c r="M61" s="673">
        <f t="shared" si="2"/>
        <v>2025</v>
      </c>
      <c r="N61" s="674">
        <f t="shared" si="2"/>
        <v>2026</v>
      </c>
    </row>
    <row r="63" spans="2:14" hidden="1" outlineLevel="1" x14ac:dyDescent="0.2">
      <c r="B63" s="171" t="s">
        <v>79</v>
      </c>
      <c r="C63" s="190"/>
      <c r="D63" s="190"/>
      <c r="E63" s="190"/>
      <c r="F63" s="190"/>
      <c r="G63" s="190"/>
      <c r="H63" s="190"/>
      <c r="I63" s="190"/>
      <c r="J63" s="615">
        <v>0.2</v>
      </c>
      <c r="K63" s="615">
        <v>0.2</v>
      </c>
      <c r="L63" s="615">
        <v>0.2</v>
      </c>
      <c r="M63" s="615">
        <v>0.2</v>
      </c>
      <c r="N63" s="616">
        <v>0.2</v>
      </c>
    </row>
    <row r="64" spans="2:14" hidden="1" outlineLevel="1" x14ac:dyDescent="0.2">
      <c r="B64" s="176" t="s">
        <v>80</v>
      </c>
      <c r="C64" s="619"/>
      <c r="D64" s="619"/>
      <c r="E64" s="619"/>
      <c r="F64" s="619"/>
      <c r="G64" s="619"/>
      <c r="H64" s="619"/>
      <c r="I64" s="619"/>
      <c r="J64" s="620">
        <v>0.2</v>
      </c>
      <c r="K64" s="620">
        <v>0.2</v>
      </c>
      <c r="L64" s="620">
        <v>0.2</v>
      </c>
      <c r="M64" s="620">
        <v>0.2</v>
      </c>
      <c r="N64" s="621">
        <v>0.2</v>
      </c>
    </row>
    <row r="65" spans="2:14" hidden="1" outlineLevel="1" x14ac:dyDescent="0.2">
      <c r="B65" s="171" t="s">
        <v>81</v>
      </c>
      <c r="C65" s="190"/>
      <c r="D65" s="190"/>
      <c r="E65" s="190"/>
      <c r="F65" s="190"/>
      <c r="G65" s="190"/>
      <c r="H65" s="190"/>
      <c r="I65" s="190"/>
      <c r="J65" s="615">
        <v>0.2</v>
      </c>
      <c r="K65" s="615">
        <v>0.2</v>
      </c>
      <c r="L65" s="615">
        <v>0.2</v>
      </c>
      <c r="M65" s="615">
        <v>0.2</v>
      </c>
      <c r="N65" s="616">
        <v>0.2</v>
      </c>
    </row>
    <row r="66" spans="2:14" hidden="1" outlineLevel="1" x14ac:dyDescent="0.2">
      <c r="B66" s="176" t="s">
        <v>82</v>
      </c>
      <c r="C66" s="619"/>
      <c r="D66" s="619"/>
      <c r="E66" s="619"/>
      <c r="F66" s="619"/>
      <c r="G66" s="619"/>
      <c r="H66" s="619"/>
      <c r="I66" s="619"/>
      <c r="J66" s="620">
        <v>0.2</v>
      </c>
      <c r="K66" s="620">
        <v>0.2</v>
      </c>
      <c r="L66" s="620">
        <v>0.2</v>
      </c>
      <c r="M66" s="620">
        <v>0.2</v>
      </c>
      <c r="N66" s="621">
        <v>0.2</v>
      </c>
    </row>
    <row r="67" spans="2:14" hidden="1" outlineLevel="1" x14ac:dyDescent="0.2">
      <c r="B67" s="171" t="s">
        <v>83</v>
      </c>
      <c r="C67" s="190"/>
      <c r="D67" s="190"/>
      <c r="E67" s="190"/>
      <c r="F67" s="190"/>
      <c r="G67" s="190"/>
      <c r="H67" s="190"/>
      <c r="I67" s="190"/>
      <c r="J67" s="622">
        <v>2.8902442861707969E-2</v>
      </c>
      <c r="K67" s="622">
        <v>2.8902442861707969E-2</v>
      </c>
      <c r="L67" s="622">
        <v>2.8902442861707969E-2</v>
      </c>
      <c r="M67" s="622">
        <v>2.8902442861707969E-2</v>
      </c>
      <c r="N67" s="623">
        <v>2.8902442861707969E-2</v>
      </c>
    </row>
    <row r="68" spans="2:14" hidden="1" outlineLevel="1" x14ac:dyDescent="0.2">
      <c r="B68" s="176" t="s">
        <v>84</v>
      </c>
      <c r="C68" s="619"/>
      <c r="D68" s="619"/>
      <c r="E68" s="619"/>
      <c r="F68" s="619"/>
      <c r="G68" s="619"/>
      <c r="H68" s="619"/>
      <c r="I68" s="619"/>
      <c r="J68" s="624">
        <v>2.8056395306511335E-2</v>
      </c>
      <c r="K68" s="624">
        <v>2.8056395306511335E-2</v>
      </c>
      <c r="L68" s="624">
        <v>2.8056395306511335E-2</v>
      </c>
      <c r="M68" s="624">
        <v>2.8056395306511335E-2</v>
      </c>
      <c r="N68" s="625">
        <v>2.8056395306511335E-2</v>
      </c>
    </row>
    <row r="69" spans="2:14" hidden="1" outlineLevel="1" x14ac:dyDescent="0.2">
      <c r="B69" s="626" t="s">
        <v>85</v>
      </c>
      <c r="C69" s="93"/>
      <c r="D69" s="93"/>
      <c r="E69" s="93"/>
      <c r="F69" s="93"/>
      <c r="G69" s="93"/>
      <c r="H69" s="93"/>
      <c r="I69" s="93"/>
      <c r="J69" s="627">
        <v>2.7737782275837463E-3</v>
      </c>
      <c r="K69" s="627">
        <v>2.7737782275837463E-3</v>
      </c>
      <c r="L69" s="627">
        <v>2.7737782275837463E-3</v>
      </c>
      <c r="M69" s="627">
        <v>2.7737782275837463E-3</v>
      </c>
      <c r="N69" s="628">
        <v>2.7737782275837463E-3</v>
      </c>
    </row>
    <row r="70" spans="2:14" ht="12.75" collapsed="1" thickBot="1" x14ac:dyDescent="0.25"/>
    <row r="71" spans="2:14" s="676" customFormat="1" ht="12.75" thickBot="1" x14ac:dyDescent="0.25">
      <c r="B71" s="675" t="s">
        <v>86</v>
      </c>
      <c r="C71" s="675"/>
      <c r="D71" s="675"/>
      <c r="E71" s="675"/>
      <c r="J71" s="672">
        <v>2022</v>
      </c>
      <c r="K71" s="673">
        <f>J71+1</f>
        <v>2023</v>
      </c>
      <c r="L71" s="673">
        <f t="shared" ref="L71:N71" si="3">K71+1</f>
        <v>2024</v>
      </c>
      <c r="M71" s="673">
        <f t="shared" si="3"/>
        <v>2025</v>
      </c>
      <c r="N71" s="674">
        <f t="shared" si="3"/>
        <v>2026</v>
      </c>
    </row>
    <row r="73" spans="2:14" hidden="1" outlineLevel="1" x14ac:dyDescent="0.2">
      <c r="B73" s="626" t="s">
        <v>87</v>
      </c>
      <c r="C73" s="93"/>
      <c r="D73" s="93"/>
      <c r="E73" s="93"/>
      <c r="F73" s="93"/>
      <c r="G73" s="93"/>
      <c r="H73" s="93"/>
      <c r="I73" s="93"/>
      <c r="J73" s="647">
        <v>0.03</v>
      </c>
      <c r="K73" s="647">
        <v>0.03</v>
      </c>
      <c r="L73" s="647">
        <v>0.03</v>
      </c>
      <c r="M73" s="647">
        <v>0.03</v>
      </c>
      <c r="N73" s="648">
        <v>0.03</v>
      </c>
    </row>
    <row r="74" spans="2:14" hidden="1" outlineLevel="1" x14ac:dyDescent="0.2">
      <c r="B74" s="171" t="s">
        <v>88</v>
      </c>
      <c r="C74" s="190"/>
      <c r="D74" s="190"/>
      <c r="E74" s="190"/>
      <c r="F74" s="190"/>
      <c r="G74" s="190"/>
      <c r="H74" s="190"/>
      <c r="I74" s="190"/>
      <c r="J74" s="649">
        <f>Cost!J22</f>
        <v>14.406962738397091</v>
      </c>
      <c r="K74" s="649">
        <f>J74*(1+1%)</f>
        <v>14.551032365781062</v>
      </c>
      <c r="L74" s="649">
        <f>K74*(1+1%)</f>
        <v>14.696542689438873</v>
      </c>
      <c r="M74" s="649">
        <f>L74*(1+1%)</f>
        <v>14.843508116333261</v>
      </c>
      <c r="N74" s="650">
        <f>M74*(1+1%)</f>
        <v>14.991943197496594</v>
      </c>
    </row>
    <row r="75" spans="2:14" hidden="1" outlineLevel="1" x14ac:dyDescent="0.2">
      <c r="B75" s="176" t="s">
        <v>89</v>
      </c>
      <c r="C75" s="619"/>
      <c r="D75" s="619"/>
      <c r="E75" s="619"/>
      <c r="F75" s="619"/>
      <c r="G75" s="619"/>
      <c r="H75" s="619"/>
      <c r="I75" s="619"/>
      <c r="J75" s="651">
        <f>Cost!J25</f>
        <v>3.3326314629037589E-2</v>
      </c>
      <c r="K75" s="651">
        <f t="shared" ref="K75:N83" si="4">J75</f>
        <v>3.3326314629037589E-2</v>
      </c>
      <c r="L75" s="651">
        <f t="shared" si="4"/>
        <v>3.3326314629037589E-2</v>
      </c>
      <c r="M75" s="651">
        <f t="shared" si="4"/>
        <v>3.3326314629037589E-2</v>
      </c>
      <c r="N75" s="652">
        <f t="shared" si="4"/>
        <v>3.3326314629037589E-2</v>
      </c>
    </row>
    <row r="76" spans="2:14" hidden="1" outlineLevel="1" x14ac:dyDescent="0.2">
      <c r="B76" s="175" t="s">
        <v>90</v>
      </c>
      <c r="J76" s="643">
        <f>Cost!J28</f>
        <v>0.77797471059661627</v>
      </c>
      <c r="K76" s="643">
        <f t="shared" si="4"/>
        <v>0.77797471059661627</v>
      </c>
      <c r="L76" s="643">
        <f t="shared" si="4"/>
        <v>0.77797471059661627</v>
      </c>
      <c r="M76" s="643">
        <f t="shared" si="4"/>
        <v>0.77797471059661627</v>
      </c>
      <c r="N76" s="644">
        <f t="shared" si="4"/>
        <v>0.77797471059661627</v>
      </c>
    </row>
    <row r="77" spans="2:14" hidden="1" outlineLevel="1" x14ac:dyDescent="0.2">
      <c r="B77" s="175" t="s">
        <v>91</v>
      </c>
      <c r="J77" s="643">
        <f>AVERAGE(Cost!E30:G30,Cost!J30)</f>
        <v>8.1378854518785841E-3</v>
      </c>
      <c r="K77" s="643">
        <f t="shared" si="4"/>
        <v>8.1378854518785841E-3</v>
      </c>
      <c r="L77" s="643">
        <f t="shared" si="4"/>
        <v>8.1378854518785841E-3</v>
      </c>
      <c r="M77" s="643">
        <f t="shared" si="4"/>
        <v>8.1378854518785841E-3</v>
      </c>
      <c r="N77" s="644">
        <f t="shared" si="4"/>
        <v>8.1378854518785841E-3</v>
      </c>
    </row>
    <row r="78" spans="2:14" hidden="1" outlineLevel="1" x14ac:dyDescent="0.2">
      <c r="B78" s="175" t="str">
        <f>Cost!C31&amp;"율"</f>
        <v>부품비율</v>
      </c>
      <c r="J78" s="643">
        <f>AVERAGE(Cost!E32:G32,Cost!J32)</f>
        <v>5.1002275809462739E-4</v>
      </c>
      <c r="K78" s="643">
        <f t="shared" si="4"/>
        <v>5.1002275809462739E-4</v>
      </c>
      <c r="L78" s="643">
        <f t="shared" si="4"/>
        <v>5.1002275809462739E-4</v>
      </c>
      <c r="M78" s="643">
        <f t="shared" si="4"/>
        <v>5.1002275809462739E-4</v>
      </c>
      <c r="N78" s="644">
        <f t="shared" si="4"/>
        <v>5.1002275809462739E-4</v>
      </c>
    </row>
    <row r="79" spans="2:14" hidden="1" outlineLevel="1" x14ac:dyDescent="0.2">
      <c r="B79" s="175" t="str">
        <f>Cost!C33&amp;"율"</f>
        <v>세금과공과율</v>
      </c>
      <c r="J79" s="643">
        <f>AVERAGE(Cost!E34:G34,Cost!J34)</f>
        <v>3.2024080379169347E-3</v>
      </c>
      <c r="K79" s="643">
        <f t="shared" si="4"/>
        <v>3.2024080379169347E-3</v>
      </c>
      <c r="L79" s="643">
        <f t="shared" si="4"/>
        <v>3.2024080379169347E-3</v>
      </c>
      <c r="M79" s="643">
        <f t="shared" si="4"/>
        <v>3.2024080379169347E-3</v>
      </c>
      <c r="N79" s="644">
        <f t="shared" si="4"/>
        <v>3.2024080379169347E-3</v>
      </c>
    </row>
    <row r="80" spans="2:14" hidden="1" outlineLevel="1" x14ac:dyDescent="0.2">
      <c r="B80" s="175" t="str">
        <f>Cost!C35&amp;"율"</f>
        <v>위탁차량비율</v>
      </c>
      <c r="J80" s="643">
        <f>AVERAGE(Cost!E36:G36,Cost!J36)</f>
        <v>2.4804999081206322E-4</v>
      </c>
      <c r="K80" s="643">
        <f t="shared" si="4"/>
        <v>2.4804999081206322E-4</v>
      </c>
      <c r="L80" s="643">
        <f t="shared" si="4"/>
        <v>2.4804999081206322E-4</v>
      </c>
      <c r="M80" s="643">
        <f t="shared" si="4"/>
        <v>2.4804999081206322E-4</v>
      </c>
      <c r="N80" s="644">
        <f t="shared" si="4"/>
        <v>2.4804999081206322E-4</v>
      </c>
    </row>
    <row r="81" spans="2:14" hidden="1" outlineLevel="1" x14ac:dyDescent="0.2">
      <c r="B81" s="175" t="str">
        <f>Cost!C37&amp;"율"</f>
        <v>소모품비율</v>
      </c>
      <c r="J81" s="643">
        <f>AVERAGE(Cost!E38:G38,Cost!J38)</f>
        <v>4.4903592608541254E-4</v>
      </c>
      <c r="K81" s="643">
        <f t="shared" si="4"/>
        <v>4.4903592608541254E-4</v>
      </c>
      <c r="L81" s="643">
        <f t="shared" si="4"/>
        <v>4.4903592608541254E-4</v>
      </c>
      <c r="M81" s="643">
        <f t="shared" si="4"/>
        <v>4.4903592608541254E-4</v>
      </c>
      <c r="N81" s="644">
        <f t="shared" si="4"/>
        <v>4.4903592608541254E-4</v>
      </c>
    </row>
    <row r="82" spans="2:14" hidden="1" outlineLevel="1" x14ac:dyDescent="0.2">
      <c r="B82" s="175" t="str">
        <f>Cost!C39&amp;"율"</f>
        <v>보험료율</v>
      </c>
      <c r="J82" s="643">
        <f>AVERAGE(Cost!E40:G40,Cost!J40)</f>
        <v>6.4908689571616086E-4</v>
      </c>
      <c r="K82" s="643">
        <f t="shared" si="4"/>
        <v>6.4908689571616086E-4</v>
      </c>
      <c r="L82" s="643">
        <f t="shared" si="4"/>
        <v>6.4908689571616086E-4</v>
      </c>
      <c r="M82" s="643">
        <f t="shared" si="4"/>
        <v>6.4908689571616086E-4</v>
      </c>
      <c r="N82" s="644">
        <f t="shared" si="4"/>
        <v>6.4908689571616086E-4</v>
      </c>
    </row>
    <row r="83" spans="2:14" hidden="1" outlineLevel="1" x14ac:dyDescent="0.2">
      <c r="B83" s="176" t="str">
        <f>Cost!C41&amp;"율"</f>
        <v>기타비용율</v>
      </c>
      <c r="C83" s="619"/>
      <c r="D83" s="619"/>
      <c r="E83" s="619"/>
      <c r="F83" s="619"/>
      <c r="G83" s="619"/>
      <c r="H83" s="619"/>
      <c r="I83" s="619"/>
      <c r="J83" s="645">
        <f>AVERAGE(Cost!E42:G42)</f>
        <v>1.439040905900193E-2</v>
      </c>
      <c r="K83" s="645">
        <f t="shared" si="4"/>
        <v>1.439040905900193E-2</v>
      </c>
      <c r="L83" s="645">
        <f t="shared" si="4"/>
        <v>1.439040905900193E-2</v>
      </c>
      <c r="M83" s="645">
        <f t="shared" si="4"/>
        <v>1.439040905900193E-2</v>
      </c>
      <c r="N83" s="646">
        <f t="shared" si="4"/>
        <v>1.439040905900193E-2</v>
      </c>
    </row>
    <row r="84" spans="2:14" ht="12.75" collapsed="1" thickBot="1" x14ac:dyDescent="0.25"/>
    <row r="85" spans="2:14" s="676" customFormat="1" ht="12.75" thickBot="1" x14ac:dyDescent="0.25">
      <c r="B85" s="675" t="s">
        <v>92</v>
      </c>
      <c r="C85" s="675"/>
      <c r="D85" s="675"/>
      <c r="E85" s="675"/>
      <c r="J85" s="672">
        <v>2022</v>
      </c>
      <c r="K85" s="673">
        <f>J85+1</f>
        <v>2023</v>
      </c>
      <c r="L85" s="673">
        <f t="shared" ref="L85:N85" si="5">K85+1</f>
        <v>2024</v>
      </c>
      <c r="M85" s="673">
        <f t="shared" si="5"/>
        <v>2025</v>
      </c>
      <c r="N85" s="674">
        <f t="shared" si="5"/>
        <v>2026</v>
      </c>
    </row>
    <row r="87" spans="2:14" hidden="1" outlineLevel="1" x14ac:dyDescent="0.2">
      <c r="B87" s="171" t="str">
        <f>Cost!C45&amp;" 상승률"</f>
        <v>여비교통비 상승률</v>
      </c>
      <c r="C87" s="190"/>
      <c r="D87" s="190"/>
      <c r="E87" s="190"/>
      <c r="F87" s="190"/>
      <c r="G87" s="190"/>
      <c r="H87" s="190"/>
      <c r="I87" s="190"/>
      <c r="J87" s="641">
        <v>0.02</v>
      </c>
      <c r="K87" s="641">
        <v>0.02</v>
      </c>
      <c r="L87" s="641">
        <v>0.02</v>
      </c>
      <c r="M87" s="641">
        <v>0.02</v>
      </c>
      <c r="N87" s="642">
        <v>0.02</v>
      </c>
    </row>
    <row r="88" spans="2:14" hidden="1" outlineLevel="1" x14ac:dyDescent="0.2">
      <c r="B88" s="175" t="str">
        <f>Cost!C47&amp;" 상승률"</f>
        <v>대손상각비 상승률</v>
      </c>
      <c r="J88" s="643">
        <v>0.02</v>
      </c>
      <c r="K88" s="643">
        <v>0.02</v>
      </c>
      <c r="L88" s="643">
        <v>0.02</v>
      </c>
      <c r="M88" s="643">
        <v>0.02</v>
      </c>
      <c r="N88" s="644">
        <v>0.02</v>
      </c>
    </row>
    <row r="89" spans="2:14" hidden="1" outlineLevel="1" x14ac:dyDescent="0.2">
      <c r="B89" s="175" t="str">
        <f>Cost!C49&amp;" 상승률"</f>
        <v>접대비 상승률</v>
      </c>
      <c r="J89" s="643">
        <v>0.02</v>
      </c>
      <c r="K89" s="643">
        <v>0.02</v>
      </c>
      <c r="L89" s="643">
        <v>0.02</v>
      </c>
      <c r="M89" s="643">
        <v>0.02</v>
      </c>
      <c r="N89" s="644">
        <v>0.02</v>
      </c>
    </row>
    <row r="90" spans="2:14" hidden="1" outlineLevel="1" x14ac:dyDescent="0.2">
      <c r="B90" s="175" t="str">
        <f>Cost!C51&amp;" 상승률"</f>
        <v>지급임차료 상승률</v>
      </c>
      <c r="J90" s="643">
        <v>0.02</v>
      </c>
      <c r="K90" s="643">
        <v>0.02</v>
      </c>
      <c r="L90" s="643">
        <v>0.02</v>
      </c>
      <c r="M90" s="643">
        <v>0.02</v>
      </c>
      <c r="N90" s="644">
        <v>0.02</v>
      </c>
    </row>
    <row r="91" spans="2:14" hidden="1" outlineLevel="1" x14ac:dyDescent="0.2">
      <c r="B91" s="175" t="str">
        <f>Cost!C53&amp;" 상승률"</f>
        <v>차량유지비 상승률</v>
      </c>
      <c r="J91" s="643">
        <v>0.02</v>
      </c>
      <c r="K91" s="643">
        <v>0.02</v>
      </c>
      <c r="L91" s="643">
        <v>0.02</v>
      </c>
      <c r="M91" s="643">
        <v>0.02</v>
      </c>
      <c r="N91" s="644">
        <v>0.02</v>
      </c>
    </row>
    <row r="92" spans="2:14" hidden="1" outlineLevel="1" x14ac:dyDescent="0.2">
      <c r="B92" s="176" t="str">
        <f>Cost!C55&amp;" 상승률"</f>
        <v>운반비 상승률</v>
      </c>
      <c r="C92" s="619"/>
      <c r="D92" s="619"/>
      <c r="E92" s="619"/>
      <c r="F92" s="619"/>
      <c r="G92" s="619"/>
      <c r="H92" s="619"/>
      <c r="I92" s="619"/>
      <c r="J92" s="645">
        <v>0.02</v>
      </c>
      <c r="K92" s="645">
        <v>0.02</v>
      </c>
      <c r="L92" s="645">
        <v>0.02</v>
      </c>
      <c r="M92" s="645">
        <v>0.02</v>
      </c>
      <c r="N92" s="646">
        <v>0.02</v>
      </c>
    </row>
    <row r="93" spans="2:14" ht="12.75" collapsed="1" thickBot="1" x14ac:dyDescent="0.25"/>
    <row r="94" spans="2:14" s="676" customFormat="1" ht="12.75" thickBot="1" x14ac:dyDescent="0.25">
      <c r="B94" s="675" t="s">
        <v>11</v>
      </c>
      <c r="C94" s="675"/>
      <c r="D94" s="675"/>
      <c r="E94" s="675"/>
      <c r="J94" s="672">
        <v>2022</v>
      </c>
      <c r="K94" s="673">
        <f>J94+1</f>
        <v>2023</v>
      </c>
      <c r="L94" s="673">
        <f t="shared" ref="L94:N94" si="6">K94+1</f>
        <v>2024</v>
      </c>
      <c r="M94" s="673">
        <f t="shared" si="6"/>
        <v>2025</v>
      </c>
      <c r="N94" s="674">
        <f t="shared" si="6"/>
        <v>2026</v>
      </c>
    </row>
    <row r="96" spans="2:14" hidden="1" outlineLevel="1" x14ac:dyDescent="0.2">
      <c r="B96" s="653" t="s">
        <v>93</v>
      </c>
      <c r="C96" s="190"/>
      <c r="D96" s="190"/>
      <c r="E96" s="190"/>
      <c r="F96" s="190"/>
      <c r="G96" s="190"/>
      <c r="H96" s="190"/>
      <c r="I96" s="190"/>
      <c r="J96" s="654">
        <v>3229</v>
      </c>
      <c r="K96" s="654">
        <f t="shared" ref="K96:N97" si="7">J96*(1+5%)</f>
        <v>3390.4500000000003</v>
      </c>
      <c r="L96" s="654">
        <f t="shared" si="7"/>
        <v>3559.9725000000003</v>
      </c>
      <c r="M96" s="654">
        <f t="shared" si="7"/>
        <v>3737.9711250000005</v>
      </c>
      <c r="N96" s="655">
        <f t="shared" si="7"/>
        <v>3924.8696812500007</v>
      </c>
    </row>
    <row r="97" spans="2:14" hidden="1" outlineLevel="1" x14ac:dyDescent="0.2">
      <c r="B97" s="656" t="s">
        <v>94</v>
      </c>
      <c r="C97" s="619"/>
      <c r="D97" s="619"/>
      <c r="E97" s="619"/>
      <c r="F97" s="619"/>
      <c r="G97" s="619"/>
      <c r="H97" s="619"/>
      <c r="I97" s="619"/>
      <c r="J97" s="657">
        <v>1027.2991545</v>
      </c>
      <c r="K97" s="658">
        <f t="shared" si="7"/>
        <v>1078.6641122250001</v>
      </c>
      <c r="L97" s="658">
        <f t="shared" si="7"/>
        <v>1132.5973178362501</v>
      </c>
      <c r="M97" s="658">
        <f t="shared" si="7"/>
        <v>1189.2271837280628</v>
      </c>
      <c r="N97" s="659">
        <f t="shared" si="7"/>
        <v>1248.6885429144659</v>
      </c>
    </row>
    <row r="98" spans="2:14" hidden="1" outlineLevel="1" x14ac:dyDescent="0.2">
      <c r="B98" s="653" t="s">
        <v>95</v>
      </c>
      <c r="C98" s="190"/>
      <c r="D98" s="190"/>
      <c r="E98" s="190"/>
      <c r="F98" s="190"/>
      <c r="G98" s="190"/>
      <c r="H98" s="190"/>
      <c r="I98" s="190"/>
      <c r="J98" s="654">
        <v>15000</v>
      </c>
      <c r="K98" s="654">
        <v>15000</v>
      </c>
      <c r="L98" s="654">
        <v>15000</v>
      </c>
      <c r="M98" s="654">
        <v>15000</v>
      </c>
      <c r="N98" s="655">
        <v>15000</v>
      </c>
    </row>
    <row r="99" spans="2:14" hidden="1" outlineLevel="1" x14ac:dyDescent="0.2">
      <c r="B99" s="656" t="s">
        <v>96</v>
      </c>
      <c r="C99" s="619"/>
      <c r="D99" s="619"/>
      <c r="E99" s="619"/>
      <c r="F99" s="619"/>
      <c r="G99" s="619"/>
      <c r="H99" s="619"/>
      <c r="I99" s="619"/>
      <c r="J99" s="658">
        <v>1000</v>
      </c>
      <c r="K99" s="658">
        <v>1000</v>
      </c>
      <c r="L99" s="658">
        <v>1000</v>
      </c>
      <c r="M99" s="658">
        <v>1000</v>
      </c>
      <c r="N99" s="659">
        <v>1000</v>
      </c>
    </row>
    <row r="100" spans="2:14" hidden="1" outlineLevel="1" x14ac:dyDescent="0.2">
      <c r="B100" s="653" t="s">
        <v>97</v>
      </c>
      <c r="C100" s="190"/>
      <c r="D100" s="190"/>
      <c r="E100" s="190"/>
      <c r="F100" s="190"/>
      <c r="G100" s="190"/>
      <c r="H100" s="190"/>
      <c r="I100" s="190"/>
      <c r="J100" s="660">
        <v>0.2</v>
      </c>
      <c r="K100" s="660">
        <v>0.2</v>
      </c>
      <c r="L100" s="660">
        <v>0.2</v>
      </c>
      <c r="M100" s="660">
        <v>0.2</v>
      </c>
      <c r="N100" s="661">
        <v>0.2</v>
      </c>
    </row>
    <row r="101" spans="2:14" hidden="1" outlineLevel="1" x14ac:dyDescent="0.2">
      <c r="B101" s="656" t="s">
        <v>98</v>
      </c>
      <c r="C101" s="619"/>
      <c r="D101" s="619"/>
      <c r="E101" s="619"/>
      <c r="F101" s="619"/>
      <c r="G101" s="619"/>
      <c r="H101" s="619"/>
      <c r="I101" s="619"/>
      <c r="J101" s="662">
        <v>0.02</v>
      </c>
      <c r="K101" s="662">
        <v>0.02</v>
      </c>
      <c r="L101" s="662">
        <v>0.02</v>
      </c>
      <c r="M101" s="662">
        <v>0.02</v>
      </c>
      <c r="N101" s="663">
        <v>0.02</v>
      </c>
    </row>
    <row r="102" spans="2:14" ht="12.75" collapsed="1" thickBot="1" x14ac:dyDescent="0.25"/>
    <row r="103" spans="2:14" s="676" customFormat="1" ht="12.75" thickBot="1" x14ac:dyDescent="0.25">
      <c r="B103" s="675" t="s">
        <v>12</v>
      </c>
      <c r="C103" s="675"/>
      <c r="D103" s="675"/>
      <c r="E103" s="675"/>
      <c r="J103" s="672">
        <v>2022</v>
      </c>
      <c r="K103" s="673">
        <f>J103+1</f>
        <v>2023</v>
      </c>
      <c r="L103" s="673">
        <f t="shared" ref="L103:N103" si="8">K103+1</f>
        <v>2024</v>
      </c>
      <c r="M103" s="673">
        <f t="shared" si="8"/>
        <v>2025</v>
      </c>
      <c r="N103" s="674">
        <f t="shared" si="8"/>
        <v>2026</v>
      </c>
    </row>
    <row r="105" spans="2:14" hidden="1" outlineLevel="1" x14ac:dyDescent="0.2">
      <c r="B105" s="682" t="s">
        <v>99</v>
      </c>
      <c r="C105" s="667"/>
      <c r="D105" s="667"/>
      <c r="E105" s="667"/>
      <c r="F105" s="667"/>
      <c r="G105" s="667"/>
      <c r="H105" s="667"/>
      <c r="I105" s="667"/>
      <c r="J105" s="667"/>
      <c r="K105" s="667"/>
      <c r="L105" s="667"/>
      <c r="M105" s="667"/>
      <c r="N105" s="683"/>
    </row>
    <row r="106" spans="2:14" hidden="1" outlineLevel="1" x14ac:dyDescent="0.2">
      <c r="B106" s="684" t="s">
        <v>100</v>
      </c>
      <c r="J106" s="466">
        <v>139</v>
      </c>
      <c r="K106" s="466">
        <v>139</v>
      </c>
      <c r="L106" s="466">
        <v>139</v>
      </c>
      <c r="M106" s="466">
        <v>139</v>
      </c>
      <c r="N106" s="664">
        <v>139</v>
      </c>
    </row>
    <row r="107" spans="2:14" hidden="1" outlineLevel="1" x14ac:dyDescent="0.2">
      <c r="B107" s="684" t="s">
        <v>101</v>
      </c>
      <c r="J107" s="466">
        <f>Labor!L14*(1+2%)</f>
        <v>53.875528671610475</v>
      </c>
      <c r="K107" s="466">
        <f>J107*(1+2%)</f>
        <v>54.953039245042689</v>
      </c>
      <c r="L107" s="466">
        <f>K107*(1+2%)</f>
        <v>56.052100029943546</v>
      </c>
      <c r="M107" s="466">
        <f>L107*(1+2%)</f>
        <v>57.173142030542415</v>
      </c>
      <c r="N107" s="664">
        <f>M107*(1+2%)</f>
        <v>58.316604871153267</v>
      </c>
    </row>
    <row r="108" spans="2:14" hidden="1" outlineLevel="1" x14ac:dyDescent="0.2">
      <c r="B108" s="684" t="s">
        <v>102</v>
      </c>
      <c r="J108" s="466">
        <v>1511.8333333333333</v>
      </c>
      <c r="K108" s="466">
        <v>1511.8333333333333</v>
      </c>
      <c r="L108" s="466">
        <v>1511.8333333333333</v>
      </c>
      <c r="M108" s="466">
        <v>1511.8333333333333</v>
      </c>
      <c r="N108" s="664">
        <v>1511.8333333333333</v>
      </c>
    </row>
    <row r="109" spans="2:14" hidden="1" outlineLevel="1" x14ac:dyDescent="0.2">
      <c r="B109" s="430" t="s">
        <v>103</v>
      </c>
      <c r="C109" s="619"/>
      <c r="D109" s="619"/>
      <c r="E109" s="619"/>
      <c r="F109" s="619"/>
      <c r="G109" s="619"/>
      <c r="H109" s="619"/>
      <c r="I109" s="619"/>
      <c r="J109" s="665">
        <f>Labor!L18*(1+2%)</f>
        <v>37.527557610336025</v>
      </c>
      <c r="K109" s="665">
        <f>J109*(1+2%)</f>
        <v>38.278108762542743</v>
      </c>
      <c r="L109" s="665">
        <f>K109*(1+2%)</f>
        <v>39.0436709377936</v>
      </c>
      <c r="M109" s="665">
        <f>L109*(1+2%)</f>
        <v>39.824544356549474</v>
      </c>
      <c r="N109" s="666">
        <f>M109*(1+2%)</f>
        <v>40.621035243680467</v>
      </c>
    </row>
    <row r="110" spans="2:14" hidden="1" outlineLevel="1" x14ac:dyDescent="0.2">
      <c r="B110" s="682" t="s">
        <v>104</v>
      </c>
      <c r="C110" s="667"/>
      <c r="D110" s="667"/>
      <c r="E110" s="667"/>
      <c r="F110" s="667"/>
      <c r="G110" s="667"/>
      <c r="H110" s="667"/>
      <c r="I110" s="667"/>
      <c r="J110" s="667"/>
      <c r="K110" s="667"/>
      <c r="L110" s="667"/>
      <c r="M110" s="667"/>
      <c r="N110" s="683"/>
    </row>
    <row r="111" spans="2:14" hidden="1" outlineLevel="1" x14ac:dyDescent="0.2">
      <c r="B111" s="684" t="s">
        <v>105</v>
      </c>
      <c r="J111" s="466">
        <f>Labor!L22</f>
        <v>7281.2631578947367</v>
      </c>
      <c r="K111" s="466">
        <f>J111</f>
        <v>7281.2631578947367</v>
      </c>
      <c r="L111" s="466">
        <f>K111</f>
        <v>7281.2631578947367</v>
      </c>
      <c r="M111" s="466">
        <f>L111</f>
        <v>7281.2631578947367</v>
      </c>
      <c r="N111" s="664">
        <f>M111</f>
        <v>7281.2631578947367</v>
      </c>
    </row>
    <row r="112" spans="2:14" hidden="1" outlineLevel="1" x14ac:dyDescent="0.2">
      <c r="B112" s="684" t="s">
        <v>106</v>
      </c>
      <c r="J112" s="466">
        <f>Labor!L23*(1+2%)</f>
        <v>71.96895573567646</v>
      </c>
      <c r="K112" s="466">
        <f>J112*(1+2%)</f>
        <v>73.408334850389991</v>
      </c>
      <c r="L112" s="466">
        <f>K112*(1+2%)</f>
        <v>74.876501547397794</v>
      </c>
      <c r="M112" s="466">
        <f>L112*(1+2%)</f>
        <v>76.37403157834575</v>
      </c>
      <c r="N112" s="664">
        <f>M112*(1+2%)</f>
        <v>77.901512209912667</v>
      </c>
    </row>
    <row r="113" spans="2:14" hidden="1" outlineLevel="1" x14ac:dyDescent="0.2">
      <c r="B113" s="684" t="s">
        <v>107</v>
      </c>
      <c r="J113" s="466">
        <f>Labor!L26</f>
        <v>69172</v>
      </c>
      <c r="K113" s="466">
        <f>J113</f>
        <v>69172</v>
      </c>
      <c r="L113" s="466">
        <f>K113</f>
        <v>69172</v>
      </c>
      <c r="M113" s="466">
        <f>L113</f>
        <v>69172</v>
      </c>
      <c r="N113" s="664">
        <f>M113</f>
        <v>69172</v>
      </c>
    </row>
    <row r="114" spans="2:14" hidden="1" outlineLevel="1" x14ac:dyDescent="0.2">
      <c r="B114" s="430" t="s">
        <v>108</v>
      </c>
      <c r="C114" s="619"/>
      <c r="D114" s="619"/>
      <c r="E114" s="619"/>
      <c r="F114" s="619"/>
      <c r="G114" s="619"/>
      <c r="H114" s="619"/>
      <c r="I114" s="619"/>
      <c r="J114" s="665">
        <f>Labor!L27*(1+2%)</f>
        <v>46.426363307855993</v>
      </c>
      <c r="K114" s="665">
        <f>J114*(1+2%)</f>
        <v>47.354890574013112</v>
      </c>
      <c r="L114" s="665">
        <f>K114*(1+2%)</f>
        <v>48.301988385493374</v>
      </c>
      <c r="M114" s="665">
        <f>L114*(1+2%)</f>
        <v>49.26802815320324</v>
      </c>
      <c r="N114" s="666">
        <f>M114*(1+2%)</f>
        <v>50.253388716267303</v>
      </c>
    </row>
    <row r="115" spans="2:14" hidden="1" outlineLevel="1" x14ac:dyDescent="0.2">
      <c r="B115" s="682" t="s">
        <v>109</v>
      </c>
      <c r="C115" s="667"/>
      <c r="D115" s="667"/>
      <c r="E115" s="667"/>
      <c r="F115" s="667"/>
      <c r="G115" s="667"/>
      <c r="H115" s="667"/>
      <c r="I115" s="667"/>
      <c r="J115" s="667"/>
      <c r="K115" s="667"/>
      <c r="L115" s="667"/>
      <c r="M115" s="667"/>
      <c r="N115" s="683"/>
    </row>
    <row r="116" spans="2:14" hidden="1" outlineLevel="1" x14ac:dyDescent="0.2">
      <c r="B116" s="684" t="s">
        <v>110</v>
      </c>
      <c r="J116" s="466">
        <f>Labor!L31</f>
        <v>1791.36</v>
      </c>
      <c r="K116" s="466">
        <f>J116</f>
        <v>1791.36</v>
      </c>
      <c r="L116" s="466">
        <f>K116</f>
        <v>1791.36</v>
      </c>
      <c r="M116" s="466">
        <f>L116</f>
        <v>1791.36</v>
      </c>
      <c r="N116" s="664">
        <f>M116</f>
        <v>1791.36</v>
      </c>
    </row>
    <row r="117" spans="2:14" hidden="1" outlineLevel="1" x14ac:dyDescent="0.2">
      <c r="B117" s="684" t="s">
        <v>106</v>
      </c>
      <c r="J117" s="466">
        <f>Labor!L32*(1+2%)</f>
        <v>73.535805308290165</v>
      </c>
      <c r="K117" s="466">
        <f>J117*(1+2%)</f>
        <v>75.006521414455975</v>
      </c>
      <c r="L117" s="466">
        <f>K117*(1+2%)</f>
        <v>76.5066518427451</v>
      </c>
      <c r="M117" s="466">
        <f>L117*(1+2%)</f>
        <v>78.036784879600006</v>
      </c>
      <c r="N117" s="664">
        <f>M117*(1+2%)</f>
        <v>79.597520577192014</v>
      </c>
    </row>
    <row r="118" spans="2:14" hidden="1" outlineLevel="1" x14ac:dyDescent="0.2">
      <c r="B118" s="684" t="s">
        <v>111</v>
      </c>
      <c r="J118" s="466">
        <f>Labor!L35</f>
        <v>4976</v>
      </c>
      <c r="K118" s="466">
        <f>J118</f>
        <v>4976</v>
      </c>
      <c r="L118" s="466">
        <f>K118</f>
        <v>4976</v>
      </c>
      <c r="M118" s="466">
        <f>L118</f>
        <v>4976</v>
      </c>
      <c r="N118" s="664">
        <f>M118</f>
        <v>4976</v>
      </c>
    </row>
    <row r="119" spans="2:14" hidden="1" outlineLevel="1" x14ac:dyDescent="0.2">
      <c r="B119" s="430" t="s">
        <v>108</v>
      </c>
      <c r="C119" s="619"/>
      <c r="D119" s="619"/>
      <c r="E119" s="619"/>
      <c r="F119" s="619"/>
      <c r="G119" s="619"/>
      <c r="H119" s="619"/>
      <c r="I119" s="619"/>
      <c r="J119" s="665">
        <f>Labor!L36*(1+2%)</f>
        <v>68.259295474486549</v>
      </c>
      <c r="K119" s="665">
        <f>J119*(1+2%)</f>
        <v>69.624481383976288</v>
      </c>
      <c r="L119" s="665">
        <f>K119*(1+2%)</f>
        <v>71.016971011655812</v>
      </c>
      <c r="M119" s="665">
        <f>L119*(1+2%)</f>
        <v>72.437310431888932</v>
      </c>
      <c r="N119" s="666">
        <f>M119*(1+2%)</f>
        <v>73.886056640526718</v>
      </c>
    </row>
    <row r="120" spans="2:14" hidden="1" outlineLevel="1" x14ac:dyDescent="0.2">
      <c r="B120" s="682" t="s">
        <v>112</v>
      </c>
      <c r="C120" s="667"/>
      <c r="D120" s="667"/>
      <c r="E120" s="667"/>
      <c r="F120" s="667"/>
      <c r="G120" s="667"/>
      <c r="H120" s="667"/>
      <c r="I120" s="667"/>
      <c r="J120" s="667"/>
      <c r="K120" s="667"/>
      <c r="L120" s="667"/>
      <c r="M120" s="667"/>
      <c r="N120" s="683"/>
    </row>
    <row r="121" spans="2:14" hidden="1" outlineLevel="1" x14ac:dyDescent="0.2">
      <c r="B121" s="684" t="s">
        <v>113</v>
      </c>
      <c r="J121" s="466">
        <f>Labor!L39+1</f>
        <v>16</v>
      </c>
      <c r="K121" s="466">
        <f>J121+2</f>
        <v>18</v>
      </c>
      <c r="L121" s="466">
        <f>K121+2</f>
        <v>20</v>
      </c>
      <c r="M121" s="466">
        <f>L121+2</f>
        <v>22</v>
      </c>
      <c r="N121" s="664">
        <f>M121+2</f>
        <v>24</v>
      </c>
    </row>
    <row r="122" spans="2:14" hidden="1" outlineLevel="1" x14ac:dyDescent="0.2">
      <c r="B122" s="684" t="s">
        <v>106</v>
      </c>
      <c r="J122" s="466">
        <f>Labor!L40*(1+2%)</f>
        <v>64.759963874084292</v>
      </c>
      <c r="K122" s="466">
        <f>J122*(1+2%)</f>
        <v>66.055163151565978</v>
      </c>
      <c r="L122" s="466">
        <f>K122*(1+2%)</f>
        <v>67.376266414597296</v>
      </c>
      <c r="M122" s="466">
        <f>L122*(1+2%)</f>
        <v>68.723791742889247</v>
      </c>
      <c r="N122" s="664">
        <f>M122*(1+2%)</f>
        <v>70.098267577747038</v>
      </c>
    </row>
    <row r="123" spans="2:14" hidden="1" outlineLevel="1" x14ac:dyDescent="0.2">
      <c r="B123" s="684" t="s">
        <v>114</v>
      </c>
      <c r="J123" s="466">
        <f>Labor!L42+1</f>
        <v>13</v>
      </c>
      <c r="K123" s="466">
        <f>J123+2</f>
        <v>15</v>
      </c>
      <c r="L123" s="466">
        <f>K123+2</f>
        <v>17</v>
      </c>
      <c r="M123" s="466">
        <f>L123+2</f>
        <v>19</v>
      </c>
      <c r="N123" s="664">
        <f>M123+2</f>
        <v>21</v>
      </c>
    </row>
    <row r="124" spans="2:14" hidden="1" outlineLevel="1" x14ac:dyDescent="0.2">
      <c r="B124" s="430" t="s">
        <v>108</v>
      </c>
      <c r="C124" s="619"/>
      <c r="D124" s="619"/>
      <c r="E124" s="619"/>
      <c r="F124" s="619"/>
      <c r="G124" s="619"/>
      <c r="H124" s="619"/>
      <c r="I124" s="619"/>
      <c r="J124" s="665">
        <f>Labor!L43*(1+2%)</f>
        <v>52.689404438031048</v>
      </c>
      <c r="K124" s="665">
        <f>J124*(1+2%)</f>
        <v>53.743192526791667</v>
      </c>
      <c r="L124" s="665">
        <f>K124*(1+2%)</f>
        <v>54.818056377327501</v>
      </c>
      <c r="M124" s="665">
        <f>L124*(1+2%)</f>
        <v>55.914417504874052</v>
      </c>
      <c r="N124" s="666">
        <f>M124*(1+2%)</f>
        <v>57.032705854971532</v>
      </c>
    </row>
    <row r="125" spans="2:14" hidden="1" outlineLevel="1" x14ac:dyDescent="0.2">
      <c r="B125" s="682" t="s">
        <v>115</v>
      </c>
      <c r="C125" s="667"/>
      <c r="D125" s="667"/>
      <c r="E125" s="667"/>
      <c r="F125" s="667"/>
      <c r="G125" s="667"/>
      <c r="H125" s="667"/>
      <c r="I125" s="667"/>
      <c r="J125" s="667"/>
      <c r="K125" s="667"/>
      <c r="L125" s="667"/>
      <c r="M125" s="667"/>
      <c r="N125" s="683"/>
    </row>
    <row r="126" spans="2:14" hidden="1" outlineLevel="1" x14ac:dyDescent="0.2">
      <c r="B126" s="684" t="s">
        <v>113</v>
      </c>
      <c r="J126" s="466">
        <f>Labor!L46+1</f>
        <v>16</v>
      </c>
      <c r="K126" s="466">
        <f>J126+2</f>
        <v>18</v>
      </c>
      <c r="L126" s="466">
        <f>K126+2</f>
        <v>20</v>
      </c>
      <c r="M126" s="466">
        <f>L126+2</f>
        <v>22</v>
      </c>
      <c r="N126" s="664">
        <f>M126+2</f>
        <v>24</v>
      </c>
    </row>
    <row r="127" spans="2:14" hidden="1" outlineLevel="1" x14ac:dyDescent="0.2">
      <c r="B127" s="684" t="s">
        <v>106</v>
      </c>
      <c r="J127" s="466">
        <f>Labor!L47*(1+2%)</f>
        <v>70.913354421561436</v>
      </c>
      <c r="K127" s="466">
        <f>J127*(1+2%)</f>
        <v>72.331621509992672</v>
      </c>
      <c r="L127" s="466">
        <f>K127*(1+2%)</f>
        <v>73.778253940192528</v>
      </c>
      <c r="M127" s="466">
        <f>L127*(1+2%)</f>
        <v>75.253819018996381</v>
      </c>
      <c r="N127" s="664">
        <f>M127*(1+2%)</f>
        <v>76.758895399376314</v>
      </c>
    </row>
    <row r="128" spans="2:14" hidden="1" outlineLevel="1" x14ac:dyDescent="0.2">
      <c r="B128" s="684" t="s">
        <v>114</v>
      </c>
      <c r="J128" s="466">
        <f>Labor!L49+1</f>
        <v>6</v>
      </c>
      <c r="K128" s="466">
        <f>J128+2</f>
        <v>8</v>
      </c>
      <c r="L128" s="466">
        <f>K128+2</f>
        <v>10</v>
      </c>
      <c r="M128" s="466">
        <f>L128+2</f>
        <v>12</v>
      </c>
      <c r="N128" s="664">
        <f>M128+2</f>
        <v>14</v>
      </c>
    </row>
    <row r="129" spans="2:14" hidden="1" outlineLevel="1" x14ac:dyDescent="0.2">
      <c r="B129" s="430" t="s">
        <v>108</v>
      </c>
      <c r="C129" s="619"/>
      <c r="D129" s="619"/>
      <c r="E129" s="619"/>
      <c r="F129" s="619"/>
      <c r="G129" s="619"/>
      <c r="H129" s="619"/>
      <c r="I129" s="619"/>
      <c r="J129" s="665">
        <f>Labor!L50*(1+2%)</f>
        <v>41.580333967961515</v>
      </c>
      <c r="K129" s="665">
        <f>J129*(1+2%)</f>
        <v>42.411940647320748</v>
      </c>
      <c r="L129" s="665">
        <f>K129*(1+2%)</f>
        <v>43.26017946026716</v>
      </c>
      <c r="M129" s="665">
        <f>L129*(1+2%)</f>
        <v>44.125383049472504</v>
      </c>
      <c r="N129" s="666">
        <f>M129*(1+2%)</f>
        <v>45.007890710461957</v>
      </c>
    </row>
    <row r="130" spans="2:14" hidden="1" outlineLevel="1" x14ac:dyDescent="0.2">
      <c r="B130" s="682" t="s">
        <v>116</v>
      </c>
      <c r="C130" s="667"/>
      <c r="D130" s="667"/>
      <c r="E130" s="667"/>
      <c r="F130" s="667"/>
      <c r="G130" s="667"/>
      <c r="H130" s="667"/>
      <c r="I130" s="667"/>
      <c r="J130" s="667"/>
      <c r="K130" s="667"/>
      <c r="L130" s="667"/>
      <c r="M130" s="667"/>
      <c r="N130" s="683"/>
    </row>
    <row r="131" spans="2:14" hidden="1" outlineLevel="1" x14ac:dyDescent="0.2">
      <c r="B131" s="684" t="s">
        <v>113</v>
      </c>
      <c r="J131" s="466">
        <f>Labor!L53+1</f>
        <v>50</v>
      </c>
      <c r="K131" s="466">
        <f>J131+2</f>
        <v>52</v>
      </c>
      <c r="L131" s="466">
        <f>K131+2</f>
        <v>54</v>
      </c>
      <c r="M131" s="466">
        <f>L131+2</f>
        <v>56</v>
      </c>
      <c r="N131" s="664">
        <f>M131+2</f>
        <v>58</v>
      </c>
    </row>
    <row r="132" spans="2:14" hidden="1" outlineLevel="1" x14ac:dyDescent="0.2">
      <c r="B132" s="684" t="s">
        <v>106</v>
      </c>
      <c r="J132" s="466">
        <f>Labor!L54*(1+2%)</f>
        <v>77.02569897439777</v>
      </c>
      <c r="K132" s="466">
        <f>J132*(1+2%)</f>
        <v>78.566212953885724</v>
      </c>
      <c r="L132" s="466">
        <f>K132*(1+2%)</f>
        <v>80.137537212963437</v>
      </c>
      <c r="M132" s="466">
        <f>L132*(1+2%)</f>
        <v>81.740287957222705</v>
      </c>
      <c r="N132" s="664">
        <f>M132*(1+2%)</f>
        <v>83.375093716367161</v>
      </c>
    </row>
    <row r="133" spans="2:14" hidden="1" outlineLevel="1" x14ac:dyDescent="0.2">
      <c r="B133" s="684" t="s">
        <v>114</v>
      </c>
      <c r="J133" s="466">
        <f>Labor!L56+1</f>
        <v>21</v>
      </c>
      <c r="K133" s="466">
        <f>J133+2</f>
        <v>23</v>
      </c>
      <c r="L133" s="466">
        <f>K133+2</f>
        <v>25</v>
      </c>
      <c r="M133" s="466">
        <f>L133+2</f>
        <v>27</v>
      </c>
      <c r="N133" s="664">
        <f>M133+2</f>
        <v>29</v>
      </c>
    </row>
    <row r="134" spans="2:14" hidden="1" outlineLevel="1" x14ac:dyDescent="0.2">
      <c r="B134" s="430" t="s">
        <v>108</v>
      </c>
      <c r="C134" s="619"/>
      <c r="D134" s="619"/>
      <c r="E134" s="619"/>
      <c r="F134" s="619"/>
      <c r="G134" s="619"/>
      <c r="H134" s="619"/>
      <c r="I134" s="619"/>
      <c r="J134" s="665">
        <f>Labor!L57*(1+2%)</f>
        <v>54.142455433281725</v>
      </c>
      <c r="K134" s="665">
        <f>J134*(1+2%)</f>
        <v>55.225304541947359</v>
      </c>
      <c r="L134" s="665">
        <f>K134*(1+2%)</f>
        <v>56.329810632786305</v>
      </c>
      <c r="M134" s="665">
        <f>L134*(1+2%)</f>
        <v>57.456406845442032</v>
      </c>
      <c r="N134" s="666">
        <f>M134*(1+2%)</f>
        <v>58.605534982350875</v>
      </c>
    </row>
    <row r="135" spans="2:14" hidden="1" outlineLevel="1" x14ac:dyDescent="0.2">
      <c r="B135" s="682" t="s">
        <v>117</v>
      </c>
      <c r="C135" s="667"/>
      <c r="D135" s="667"/>
      <c r="E135" s="667"/>
      <c r="F135" s="667"/>
      <c r="G135" s="667"/>
      <c r="H135" s="667"/>
      <c r="I135" s="667"/>
      <c r="J135" s="667"/>
      <c r="K135" s="667"/>
      <c r="L135" s="667"/>
      <c r="M135" s="667"/>
      <c r="N135" s="683"/>
    </row>
    <row r="136" spans="2:14" hidden="1" outlineLevel="1" x14ac:dyDescent="0.2">
      <c r="B136" s="684" t="s">
        <v>118</v>
      </c>
      <c r="J136" s="668">
        <v>8.4574211357567264E-2</v>
      </c>
      <c r="K136" s="668">
        <v>8.4574211357567264E-2</v>
      </c>
      <c r="L136" s="668">
        <v>8.4574211357567264E-2</v>
      </c>
      <c r="M136" s="668">
        <v>8.4574211357567264E-2</v>
      </c>
      <c r="N136" s="669">
        <v>8.4574211357567264E-2</v>
      </c>
    </row>
    <row r="137" spans="2:14" hidden="1" outlineLevel="1" x14ac:dyDescent="0.2">
      <c r="B137" s="430" t="s">
        <v>119</v>
      </c>
      <c r="C137" s="619"/>
      <c r="D137" s="619"/>
      <c r="E137" s="619"/>
      <c r="F137" s="619"/>
      <c r="G137" s="619"/>
      <c r="H137" s="619"/>
      <c r="I137" s="619"/>
      <c r="J137" s="670">
        <f>AVERAGE(Labor!G61,Labor!H61,Labor!I61,Labor!L61)</f>
        <v>0.1136456758499325</v>
      </c>
      <c r="K137" s="670">
        <f>AVERAGE(Labor!H61,Labor!I61,Labor!J61,Labor!M61)</f>
        <v>0.10552078607024183</v>
      </c>
      <c r="L137" s="670">
        <f>AVERAGE(Labor!I61,Labor!J61,Labor!K61,Labor!N61)</f>
        <v>0.10240541892816274</v>
      </c>
      <c r="M137" s="670">
        <f>AVERAGE(Labor!J61,Labor!K61,Labor!L61,Labor!O61)</f>
        <v>0.10327645815699671</v>
      </c>
      <c r="N137" s="671">
        <f>AVERAGE(Labor!K61,Labor!L61,Labor!M61,Labor!P61)</f>
        <v>9.6457656680740883E-2</v>
      </c>
    </row>
    <row r="138" spans="2:14" ht="12.75" collapsed="1" thickBot="1" x14ac:dyDescent="0.25"/>
    <row r="139" spans="2:14" s="676" customFormat="1" ht="12.75" thickBot="1" x14ac:dyDescent="0.25">
      <c r="B139" s="675" t="s">
        <v>13</v>
      </c>
      <c r="C139" s="675"/>
      <c r="D139" s="675"/>
      <c r="E139" s="675"/>
      <c r="J139" s="672">
        <v>2022</v>
      </c>
      <c r="K139" s="673">
        <f>J139+1</f>
        <v>2023</v>
      </c>
      <c r="L139" s="673">
        <f t="shared" ref="L139:N139" si="9">K139+1</f>
        <v>2024</v>
      </c>
      <c r="M139" s="673">
        <f t="shared" si="9"/>
        <v>2025</v>
      </c>
      <c r="N139" s="674">
        <f t="shared" si="9"/>
        <v>2026</v>
      </c>
    </row>
    <row r="141" spans="2:14" hidden="1" outlineLevel="1" x14ac:dyDescent="0.2">
      <c r="B141" s="685" t="s">
        <v>120</v>
      </c>
      <c r="C141" s="190"/>
      <c r="D141" s="190"/>
      <c r="E141" s="190"/>
      <c r="F141" s="190"/>
      <c r="G141" s="190"/>
      <c r="H141" s="190"/>
      <c r="I141" s="190"/>
      <c r="J141" s="354">
        <f>AVERAGE(NWC!F11:G11,NWC!J11)</f>
        <v>4.3242789451310853E-3</v>
      </c>
      <c r="K141" s="354">
        <f t="shared" ref="K141:N145" si="10">J141</f>
        <v>4.3242789451310853E-3</v>
      </c>
      <c r="L141" s="354">
        <f t="shared" si="10"/>
        <v>4.3242789451310853E-3</v>
      </c>
      <c r="M141" s="354">
        <f t="shared" si="10"/>
        <v>4.3242789451310853E-3</v>
      </c>
      <c r="N141" s="677">
        <f t="shared" si="10"/>
        <v>4.3242789451310853E-3</v>
      </c>
    </row>
    <row r="142" spans="2:14" hidden="1" outlineLevel="1" x14ac:dyDescent="0.2">
      <c r="B142" s="686" t="s">
        <v>121</v>
      </c>
      <c r="J142" s="678">
        <f>AVERAGE(NWC!F13:G13,NWC!J13)</f>
        <v>0.14712089508920181</v>
      </c>
      <c r="K142" s="678">
        <f t="shared" si="10"/>
        <v>0.14712089508920181</v>
      </c>
      <c r="L142" s="678">
        <f t="shared" si="10"/>
        <v>0.14712089508920181</v>
      </c>
      <c r="M142" s="678">
        <f t="shared" si="10"/>
        <v>0.14712089508920181</v>
      </c>
      <c r="N142" s="679">
        <f t="shared" si="10"/>
        <v>0.14712089508920181</v>
      </c>
    </row>
    <row r="143" spans="2:14" hidden="1" outlineLevel="1" x14ac:dyDescent="0.2">
      <c r="B143" s="687" t="s">
        <v>122</v>
      </c>
      <c r="C143" s="619"/>
      <c r="D143" s="619"/>
      <c r="E143" s="619"/>
      <c r="F143" s="619"/>
      <c r="G143" s="619"/>
      <c r="H143" s="619"/>
      <c r="I143" s="619"/>
      <c r="J143" s="680">
        <f>AVERAGE(NWC!F15:G15,NWC!J15)</f>
        <v>2.5955245426790923E-3</v>
      </c>
      <c r="K143" s="680">
        <f t="shared" si="10"/>
        <v>2.5955245426790923E-3</v>
      </c>
      <c r="L143" s="680">
        <f t="shared" si="10"/>
        <v>2.5955245426790923E-3</v>
      </c>
      <c r="M143" s="680">
        <f t="shared" si="10"/>
        <v>2.5955245426790923E-3</v>
      </c>
      <c r="N143" s="681">
        <f t="shared" si="10"/>
        <v>2.5955245426790923E-3</v>
      </c>
    </row>
    <row r="144" spans="2:14" hidden="1" outlineLevel="1" x14ac:dyDescent="0.2">
      <c r="B144" s="685" t="s">
        <v>123</v>
      </c>
      <c r="C144" s="190"/>
      <c r="D144" s="190"/>
      <c r="E144" s="190"/>
      <c r="F144" s="190"/>
      <c r="G144" s="190"/>
      <c r="H144" s="190"/>
      <c r="I144" s="190"/>
      <c r="J144" s="354">
        <f>AVERAGE(NWC!F18:G18,NWC!J18)</f>
        <v>5.4934764159012793E-3</v>
      </c>
      <c r="K144" s="354">
        <f t="shared" si="10"/>
        <v>5.4934764159012793E-3</v>
      </c>
      <c r="L144" s="354">
        <f t="shared" si="10"/>
        <v>5.4934764159012793E-3</v>
      </c>
      <c r="M144" s="354">
        <f t="shared" si="10"/>
        <v>5.4934764159012793E-3</v>
      </c>
      <c r="N144" s="677">
        <f t="shared" si="10"/>
        <v>5.4934764159012793E-3</v>
      </c>
    </row>
    <row r="145" spans="2:14" hidden="1" outlineLevel="1" x14ac:dyDescent="0.2">
      <c r="B145" s="687" t="s">
        <v>124</v>
      </c>
      <c r="C145" s="619"/>
      <c r="D145" s="619"/>
      <c r="E145" s="619"/>
      <c r="F145" s="619"/>
      <c r="G145" s="619"/>
      <c r="H145" s="619"/>
      <c r="I145" s="619"/>
      <c r="J145" s="680">
        <f>AVERAGE(NWC!F20:G20,NWC!J20)</f>
        <v>1.4292685477386227E-2</v>
      </c>
      <c r="K145" s="680">
        <f t="shared" si="10"/>
        <v>1.4292685477386227E-2</v>
      </c>
      <c r="L145" s="680">
        <f t="shared" si="10"/>
        <v>1.4292685477386227E-2</v>
      </c>
      <c r="M145" s="680">
        <f t="shared" si="10"/>
        <v>1.4292685477386227E-2</v>
      </c>
      <c r="N145" s="681">
        <f t="shared" si="10"/>
        <v>1.4292685477386227E-2</v>
      </c>
    </row>
    <row r="146" spans="2:14" collapsed="1" x14ac:dyDescent="0.2"/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B0F3D-C5EA-451F-B9AB-8D04BD1D10C4}">
  <dimension ref="B1:N44"/>
  <sheetViews>
    <sheetView showGridLines="0" zoomScale="130" zoomScaleNormal="130" workbookViewId="0">
      <selection activeCell="D4" sqref="D4"/>
    </sheetView>
  </sheetViews>
  <sheetFormatPr defaultColWidth="9.28515625" defaultRowHeight="12" x14ac:dyDescent="0.2"/>
  <cols>
    <col min="1" max="2" width="1.85546875" style="245" customWidth="1"/>
    <col min="3" max="3" width="21.42578125" style="245" customWidth="1"/>
    <col min="4" max="14" width="11.7109375" style="245" customWidth="1"/>
    <col min="15" max="16384" width="9.28515625" style="245"/>
  </cols>
  <sheetData>
    <row r="1" spans="2:14" ht="16.5" x14ac:dyDescent="0.2">
      <c r="B1" s="323" t="s">
        <v>125</v>
      </c>
      <c r="D1" s="251"/>
      <c r="E1" s="614" t="s">
        <v>0</v>
      </c>
      <c r="F1" s="251"/>
      <c r="G1" s="251"/>
      <c r="H1" s="251"/>
      <c r="I1" s="251"/>
    </row>
    <row r="2" spans="2:14" ht="15" x14ac:dyDescent="0.2">
      <c r="B2" s="244"/>
      <c r="D2" s="251"/>
      <c r="E2" s="251"/>
      <c r="F2" s="251"/>
      <c r="G2" s="251"/>
      <c r="H2" s="251"/>
    </row>
    <row r="3" spans="2:14" x14ac:dyDescent="0.2">
      <c r="D3" s="252" t="s">
        <v>26</v>
      </c>
      <c r="E3" s="252"/>
      <c r="F3" s="252"/>
      <c r="G3" s="252"/>
      <c r="H3" s="549" t="s">
        <v>126</v>
      </c>
      <c r="I3" s="243" t="s">
        <v>28</v>
      </c>
      <c r="J3" s="241"/>
      <c r="K3" s="241"/>
      <c r="L3" s="241"/>
      <c r="M3" s="241"/>
      <c r="N3" s="241"/>
    </row>
    <row r="4" spans="2:14" x14ac:dyDescent="0.2">
      <c r="B4" s="320" t="s">
        <v>29</v>
      </c>
      <c r="C4" s="320"/>
      <c r="D4" s="321">
        <f>Sales!I4</f>
        <v>2018</v>
      </c>
      <c r="E4" s="321">
        <f>Sales!J4</f>
        <v>2019</v>
      </c>
      <c r="F4" s="322">
        <f>Sales!K4</f>
        <v>2020</v>
      </c>
      <c r="G4" s="515" t="str">
        <f>Sales!L4</f>
        <v>2021.1H</v>
      </c>
      <c r="H4" s="516" t="str">
        <f>Sales!M4</f>
        <v>2021.2H</v>
      </c>
      <c r="I4" s="517">
        <f>Sales!N4</f>
        <v>2021</v>
      </c>
      <c r="J4" s="321">
        <f>Sales!O4</f>
        <v>2022</v>
      </c>
      <c r="K4" s="321">
        <f>Sales!P4</f>
        <v>2023</v>
      </c>
      <c r="L4" s="321">
        <f>Sales!Q4</f>
        <v>2024</v>
      </c>
      <c r="M4" s="321">
        <f>Sales!R4</f>
        <v>2025</v>
      </c>
      <c r="N4" s="321">
        <f>Sales!S4</f>
        <v>2026</v>
      </c>
    </row>
    <row r="5" spans="2:14" x14ac:dyDescent="0.2">
      <c r="B5" s="253" t="s">
        <v>7</v>
      </c>
      <c r="C5" s="253"/>
      <c r="D5" s="254">
        <f>Sales!I160</f>
        <v>742803</v>
      </c>
      <c r="E5" s="254">
        <f>Sales!J160</f>
        <v>1185356</v>
      </c>
      <c r="F5" s="255">
        <f>Sales!K160</f>
        <v>1323114</v>
      </c>
      <c r="G5" s="518">
        <f>Sales!L160</f>
        <v>910585</v>
      </c>
      <c r="H5" s="519">
        <f>Sales!M160</f>
        <v>910585</v>
      </c>
      <c r="I5" s="520">
        <f>Sales!N160</f>
        <v>1821170</v>
      </c>
      <c r="J5" s="254">
        <f>Sales!O160</f>
        <v>1902459.0171767864</v>
      </c>
      <c r="K5" s="254">
        <f>Sales!P160</f>
        <v>2256380.0214478867</v>
      </c>
      <c r="L5" s="254">
        <f>Sales!Q160</f>
        <v>2679613.4966645511</v>
      </c>
      <c r="M5" s="254">
        <f>Sales!R160</f>
        <v>3186171.832301327</v>
      </c>
      <c r="N5" s="254">
        <f>Sales!S160</f>
        <v>3792952.9446530836</v>
      </c>
    </row>
    <row r="6" spans="2:14" x14ac:dyDescent="0.2">
      <c r="B6" s="256"/>
      <c r="C6" s="257" t="s">
        <v>127</v>
      </c>
      <c r="D6" s="258"/>
      <c r="E6" s="258">
        <f t="shared" ref="E6:N6" si="0">E5/D5-1</f>
        <v>0.59578784684499131</v>
      </c>
      <c r="F6" s="259">
        <f t="shared" si="0"/>
        <v>0.11621656278788817</v>
      </c>
      <c r="G6" s="521">
        <f t="shared" si="0"/>
        <v>-0.31178643714751719</v>
      </c>
      <c r="H6" s="522">
        <f t="shared" si="0"/>
        <v>0</v>
      </c>
      <c r="I6" s="523">
        <f t="shared" si="0"/>
        <v>1</v>
      </c>
      <c r="J6" s="258">
        <f t="shared" si="0"/>
        <v>4.4635600837256595E-2</v>
      </c>
      <c r="K6" s="258">
        <f t="shared" si="0"/>
        <v>0.18603344465013105</v>
      </c>
      <c r="L6" s="258">
        <f t="shared" si="0"/>
        <v>0.18757189444758571</v>
      </c>
      <c r="M6" s="258">
        <f t="shared" si="0"/>
        <v>0.18904156747505363</v>
      </c>
      <c r="N6" s="258">
        <f t="shared" si="0"/>
        <v>0.19044205532175806</v>
      </c>
    </row>
    <row r="7" spans="2:14" x14ac:dyDescent="0.2">
      <c r="B7" s="256" t="s">
        <v>9</v>
      </c>
      <c r="C7" s="256"/>
      <c r="D7" s="260">
        <f>Cost!E57</f>
        <v>732137.26109399984</v>
      </c>
      <c r="E7" s="260">
        <f>Cost!F57</f>
        <v>1156150.8129879998</v>
      </c>
      <c r="F7" s="261">
        <f>Cost!G57</f>
        <v>1285415.3887679998</v>
      </c>
      <c r="G7" s="524">
        <f>Cost!H57</f>
        <v>872106.02483599982</v>
      </c>
      <c r="H7" s="525">
        <f>Cost!I57</f>
        <v>872106.02483599982</v>
      </c>
      <c r="I7" s="526">
        <f>Cost!J57</f>
        <v>1744212.0496719996</v>
      </c>
      <c r="J7" s="260">
        <f>Cost!K57</f>
        <v>1786540.0160122912</v>
      </c>
      <c r="K7" s="260">
        <f>Cost!L57</f>
        <v>2111660.9177612406</v>
      </c>
      <c r="L7" s="260">
        <f>Cost!M57</f>
        <v>2502564.4942007978</v>
      </c>
      <c r="M7" s="260">
        <f>Cost!N57</f>
        <v>2972404.348696392</v>
      </c>
      <c r="N7" s="260">
        <f>Cost!O57</f>
        <v>3536128.3567155376</v>
      </c>
    </row>
    <row r="8" spans="2:14" x14ac:dyDescent="0.2">
      <c r="B8" s="257"/>
      <c r="C8" s="257" t="s">
        <v>128</v>
      </c>
      <c r="D8" s="258">
        <f t="shared" ref="D8:M8" si="1">D7/D$5</f>
        <v>0.9856412280160417</v>
      </c>
      <c r="E8" s="258">
        <f t="shared" si="1"/>
        <v>0.9753616744572936</v>
      </c>
      <c r="F8" s="259">
        <f t="shared" si="1"/>
        <v>0.97150766205179584</v>
      </c>
      <c r="G8" s="521">
        <f t="shared" si="1"/>
        <v>0.95774257739365332</v>
      </c>
      <c r="H8" s="522">
        <f t="shared" si="1"/>
        <v>0.95774257739365332</v>
      </c>
      <c r="I8" s="523">
        <f t="shared" si="1"/>
        <v>0.95774257739365332</v>
      </c>
      <c r="J8" s="258">
        <f t="shared" si="1"/>
        <v>0.9390688576637426</v>
      </c>
      <c r="K8" s="258">
        <f t="shared" si="1"/>
        <v>0.93586226508344017</v>
      </c>
      <c r="L8" s="258">
        <f t="shared" si="1"/>
        <v>0.93392741054479123</v>
      </c>
      <c r="M8" s="258">
        <f t="shared" si="1"/>
        <v>0.93290773540906813</v>
      </c>
      <c r="N8" s="258">
        <f t="shared" ref="N8" si="2">N7/N$5</f>
        <v>0.93228901289176525</v>
      </c>
    </row>
    <row r="9" spans="2:14" x14ac:dyDescent="0.2">
      <c r="B9" s="262" t="s">
        <v>129</v>
      </c>
      <c r="C9" s="262"/>
      <c r="D9" s="263">
        <f>D5-D7</f>
        <v>10665.738906000159</v>
      </c>
      <c r="E9" s="263">
        <f t="shared" ref="E9:M9" si="3">E5-E7</f>
        <v>29205.187012000242</v>
      </c>
      <c r="F9" s="264">
        <f t="shared" si="3"/>
        <v>37698.61123200017</v>
      </c>
      <c r="G9" s="527">
        <f t="shared" si="3"/>
        <v>38478.975164000178</v>
      </c>
      <c r="H9" s="528">
        <f t="shared" si="3"/>
        <v>38478.975164000178</v>
      </c>
      <c r="I9" s="529">
        <f t="shared" si="3"/>
        <v>76957.950328000356</v>
      </c>
      <c r="J9" s="263">
        <f t="shared" si="3"/>
        <v>115919.00116449525</v>
      </c>
      <c r="K9" s="263">
        <f t="shared" si="3"/>
        <v>144719.10368664609</v>
      </c>
      <c r="L9" s="263">
        <f t="shared" si="3"/>
        <v>177049.00246375334</v>
      </c>
      <c r="M9" s="263">
        <f t="shared" si="3"/>
        <v>213767.483604935</v>
      </c>
      <c r="N9" s="263">
        <f t="shared" ref="N9" si="4">N5-N7</f>
        <v>256824.58793754596</v>
      </c>
    </row>
    <row r="10" spans="2:14" x14ac:dyDescent="0.2">
      <c r="B10" s="257"/>
      <c r="C10" s="257" t="s">
        <v>128</v>
      </c>
      <c r="D10" s="258">
        <f t="shared" ref="D10:M10" si="5">D9/D$5</f>
        <v>1.4358771983958275E-2</v>
      </c>
      <c r="E10" s="258">
        <f t="shared" si="5"/>
        <v>2.4638325542706362E-2</v>
      </c>
      <c r="F10" s="259">
        <f t="shared" si="5"/>
        <v>2.849233794820414E-2</v>
      </c>
      <c r="G10" s="521">
        <f t="shared" si="5"/>
        <v>4.2257422606346663E-2</v>
      </c>
      <c r="H10" s="522">
        <f t="shared" si="5"/>
        <v>4.2257422606346663E-2</v>
      </c>
      <c r="I10" s="523">
        <f t="shared" si="5"/>
        <v>4.2257422606346663E-2</v>
      </c>
      <c r="J10" s="258">
        <f t="shared" si="5"/>
        <v>6.093114233625746E-2</v>
      </c>
      <c r="K10" s="258">
        <f t="shared" si="5"/>
        <v>6.4137734916559802E-2</v>
      </c>
      <c r="L10" s="258">
        <f t="shared" si="5"/>
        <v>6.6072589455208774E-2</v>
      </c>
      <c r="M10" s="258">
        <f t="shared" si="5"/>
        <v>6.7092264590931913E-2</v>
      </c>
      <c r="N10" s="258">
        <f t="shared" ref="N10" si="6">N9/N$5</f>
        <v>6.7710987108234741E-2</v>
      </c>
    </row>
    <row r="11" spans="2:14" x14ac:dyDescent="0.2">
      <c r="B11" s="256" t="s">
        <v>130</v>
      </c>
      <c r="C11" s="256"/>
      <c r="D11" s="260">
        <f t="shared" ref="D11:M11" si="7">D12+D13</f>
        <v>7432.3770940000004</v>
      </c>
      <c r="E11" s="260">
        <f t="shared" si="7"/>
        <v>13537.455988</v>
      </c>
      <c r="F11" s="261">
        <f t="shared" si="7"/>
        <v>15873.971768000001</v>
      </c>
      <c r="G11" s="524">
        <f t="shared" si="7"/>
        <v>19724.315835999998</v>
      </c>
      <c r="H11" s="525">
        <f t="shared" si="7"/>
        <v>19724.315835999998</v>
      </c>
      <c r="I11" s="526">
        <f t="shared" si="7"/>
        <v>39448.631671999996</v>
      </c>
      <c r="J11" s="260">
        <f t="shared" si="7"/>
        <v>33669.771896425009</v>
      </c>
      <c r="K11" s="260">
        <f t="shared" si="7"/>
        <v>30919.50262117176</v>
      </c>
      <c r="L11" s="260">
        <f t="shared" si="7"/>
        <v>28755.21455705534</v>
      </c>
      <c r="M11" s="260">
        <f t="shared" si="7"/>
        <v>27061.572967634995</v>
      </c>
      <c r="N11" s="260">
        <f t="shared" ref="N11" si="8">N12+N13</f>
        <v>25746.401836287812</v>
      </c>
    </row>
    <row r="12" spans="2:14" x14ac:dyDescent="0.2">
      <c r="B12" s="256"/>
      <c r="C12" s="257" t="s">
        <v>131</v>
      </c>
      <c r="D12" s="265">
        <f>'CapEx,D&amp;A'!F9</f>
        <v>6680.6335710000003</v>
      </c>
      <c r="E12" s="265">
        <f>'CapEx,D&amp;A'!G9</f>
        <v>12256.755057</v>
      </c>
      <c r="F12" s="266">
        <f>'CapEx,D&amp;A'!H9</f>
        <v>14214.472395000001</v>
      </c>
      <c r="G12" s="530">
        <f>'CapEx,D&amp;A'!I9</f>
        <v>18802.027765999999</v>
      </c>
      <c r="H12" s="531">
        <f>'CapEx,D&amp;A'!J9</f>
        <v>18802.027765999999</v>
      </c>
      <c r="I12" s="532">
        <f>'CapEx,D&amp;A'!K9</f>
        <v>37604.055531999998</v>
      </c>
      <c r="J12" s="265">
        <f>'CapEx,D&amp;A'!L9</f>
        <v>32110.435944400007</v>
      </c>
      <c r="K12" s="265">
        <f>'CapEx,D&amp;A'!M9</f>
        <v>29350.293755520008</v>
      </c>
      <c r="L12" s="265">
        <f>'CapEx,D&amp;A'!N9</f>
        <v>27175.277254416011</v>
      </c>
      <c r="M12" s="265">
        <f>'CapEx,D&amp;A'!O9</f>
        <v>25470.016166032809</v>
      </c>
      <c r="N12" s="265">
        <f>'CapEx,D&amp;A'!P9</f>
        <v>24142.297013451247</v>
      </c>
    </row>
    <row r="13" spans="2:14" x14ac:dyDescent="0.2">
      <c r="B13" s="256"/>
      <c r="C13" s="257" t="s">
        <v>132</v>
      </c>
      <c r="D13" s="265">
        <f>'CapEx,D&amp;A'!F10</f>
        <v>751.74352299999998</v>
      </c>
      <c r="E13" s="265">
        <f>'CapEx,D&amp;A'!G10</f>
        <v>1280.7009310000001</v>
      </c>
      <c r="F13" s="266">
        <f>'CapEx,D&amp;A'!H10</f>
        <v>1659.4993730000001</v>
      </c>
      <c r="G13" s="530">
        <f>'CapEx,D&amp;A'!I10</f>
        <v>922.28806999999995</v>
      </c>
      <c r="H13" s="531">
        <f>'CapEx,D&amp;A'!J10</f>
        <v>922.28806999999995</v>
      </c>
      <c r="I13" s="532">
        <f>'CapEx,D&amp;A'!K10</f>
        <v>1844.5761399999999</v>
      </c>
      <c r="J13" s="265">
        <f>'CapEx,D&amp;A'!L10</f>
        <v>1559.3359520250001</v>
      </c>
      <c r="K13" s="265">
        <f>'CapEx,D&amp;A'!M10</f>
        <v>1569.2088656517503</v>
      </c>
      <c r="L13" s="265">
        <f>'CapEx,D&amp;A'!N10</f>
        <v>1579.9373026393278</v>
      </c>
      <c r="M13" s="265">
        <f>'CapEx,D&amp;A'!O10</f>
        <v>1591.5568016021844</v>
      </c>
      <c r="N13" s="265">
        <f>'CapEx,D&amp;A'!P10</f>
        <v>1604.1048228365657</v>
      </c>
    </row>
    <row r="14" spans="2:14" x14ac:dyDescent="0.2">
      <c r="B14" s="262" t="s">
        <v>32</v>
      </c>
      <c r="C14" s="262"/>
      <c r="D14" s="263">
        <f t="shared" ref="D14:M14" si="9">D9+D11</f>
        <v>18098.116000000158</v>
      </c>
      <c r="E14" s="263">
        <f t="shared" si="9"/>
        <v>42742.643000000244</v>
      </c>
      <c r="F14" s="264">
        <f t="shared" si="9"/>
        <v>53572.583000000173</v>
      </c>
      <c r="G14" s="527">
        <f t="shared" si="9"/>
        <v>58203.291000000172</v>
      </c>
      <c r="H14" s="528">
        <f t="shared" si="9"/>
        <v>58203.291000000172</v>
      </c>
      <c r="I14" s="529">
        <f t="shared" si="9"/>
        <v>116406.58200000034</v>
      </c>
      <c r="J14" s="263">
        <f t="shared" si="9"/>
        <v>149588.77306092024</v>
      </c>
      <c r="K14" s="263">
        <f t="shared" si="9"/>
        <v>175638.60630781786</v>
      </c>
      <c r="L14" s="263">
        <f t="shared" si="9"/>
        <v>205804.21702080866</v>
      </c>
      <c r="M14" s="263">
        <f t="shared" si="9"/>
        <v>240829.05657257</v>
      </c>
      <c r="N14" s="263">
        <f t="shared" ref="N14" si="10">N9+N11</f>
        <v>282570.98977383377</v>
      </c>
    </row>
    <row r="15" spans="2:14" x14ac:dyDescent="0.2">
      <c r="B15" s="256"/>
      <c r="C15" s="257" t="s">
        <v>128</v>
      </c>
      <c r="D15" s="258">
        <f t="shared" ref="D15:M15" si="11">D14/D$5</f>
        <v>2.4364624267807423E-2</v>
      </c>
      <c r="E15" s="258">
        <f t="shared" si="11"/>
        <v>3.6058908041128775E-2</v>
      </c>
      <c r="F15" s="259">
        <f t="shared" si="11"/>
        <v>4.0489771100600681E-2</v>
      </c>
      <c r="G15" s="521">
        <f t="shared" si="11"/>
        <v>6.3918569930319705E-2</v>
      </c>
      <c r="H15" s="522">
        <f t="shared" si="11"/>
        <v>6.3918569930319705E-2</v>
      </c>
      <c r="I15" s="523">
        <f t="shared" si="11"/>
        <v>6.3918569930319705E-2</v>
      </c>
      <c r="J15" s="258">
        <f t="shared" si="11"/>
        <v>7.8629169779913147E-2</v>
      </c>
      <c r="K15" s="258">
        <f t="shared" si="11"/>
        <v>7.7840879921952627E-2</v>
      </c>
      <c r="L15" s="258">
        <f t="shared" si="11"/>
        <v>7.6803694740671918E-2</v>
      </c>
      <c r="M15" s="258">
        <f t="shared" si="11"/>
        <v>7.5585708884577815E-2</v>
      </c>
      <c r="N15" s="258">
        <f t="shared" ref="N15" si="12">N14/N$5</f>
        <v>7.4498944199182168E-2</v>
      </c>
    </row>
    <row r="16" spans="2:14" x14ac:dyDescent="0.2">
      <c r="B16" s="256" t="s">
        <v>133</v>
      </c>
      <c r="C16" s="256"/>
      <c r="D16" s="260">
        <f t="shared" ref="D16:M16" si="13">D9*D17</f>
        <v>2346.4625593200349</v>
      </c>
      <c r="E16" s="260">
        <f t="shared" si="13"/>
        <v>7067.6552569040587</v>
      </c>
      <c r="F16" s="261">
        <f t="shared" si="13"/>
        <v>9123.0639181440401</v>
      </c>
      <c r="G16" s="524">
        <f t="shared" si="13"/>
        <v>9311.911989688042</v>
      </c>
      <c r="H16" s="525">
        <f t="shared" si="13"/>
        <v>9311.911989688042</v>
      </c>
      <c r="I16" s="526">
        <f t="shared" si="13"/>
        <v>18623.823979376084</v>
      </c>
      <c r="J16" s="260">
        <f t="shared" si="13"/>
        <v>28052.398281807848</v>
      </c>
      <c r="K16" s="260">
        <f t="shared" si="13"/>
        <v>35022.023092168354</v>
      </c>
      <c r="L16" s="260">
        <f t="shared" si="13"/>
        <v>42845.858596228303</v>
      </c>
      <c r="M16" s="260">
        <f t="shared" si="13"/>
        <v>51731.731032394266</v>
      </c>
      <c r="N16" s="260">
        <f t="shared" ref="N16" si="14">N9*N17</f>
        <v>62151.55028088612</v>
      </c>
    </row>
    <row r="17" spans="2:14" x14ac:dyDescent="0.2">
      <c r="B17" s="253"/>
      <c r="C17" s="257" t="s">
        <v>134</v>
      </c>
      <c r="D17" s="258">
        <f>IF(D9&lt;=200, 11%, IF(D9&lt;=20000, 22%, IF(D9&lt;300000, 24.2%, 27.5%)))</f>
        <v>0.22</v>
      </c>
      <c r="E17" s="258">
        <f t="shared" ref="E17:M17" si="15">IF(E9&lt;=200, 11%, IF(E9&lt;=20000, 22%, IF(E9&lt;300000, 24.2%, 27.5%)))</f>
        <v>0.24199999999999999</v>
      </c>
      <c r="F17" s="259">
        <f t="shared" si="15"/>
        <v>0.24199999999999999</v>
      </c>
      <c r="G17" s="521">
        <f t="shared" si="15"/>
        <v>0.24199999999999999</v>
      </c>
      <c r="H17" s="522">
        <f t="shared" si="15"/>
        <v>0.24199999999999999</v>
      </c>
      <c r="I17" s="523">
        <f t="shared" si="15"/>
        <v>0.24199999999999999</v>
      </c>
      <c r="J17" s="258">
        <f t="shared" si="15"/>
        <v>0.24199999999999999</v>
      </c>
      <c r="K17" s="258">
        <f t="shared" si="15"/>
        <v>0.24199999999999999</v>
      </c>
      <c r="L17" s="258">
        <f t="shared" si="15"/>
        <v>0.24199999999999999</v>
      </c>
      <c r="M17" s="258">
        <f t="shared" si="15"/>
        <v>0.24199999999999999</v>
      </c>
      <c r="N17" s="258">
        <f t="shared" ref="N17" si="16">IF(N9&lt;=200, 11%, IF(N9&lt;=20000, 22%, IF(N9&lt;300000, 24.2%, 27.5%)))</f>
        <v>0.24199999999999999</v>
      </c>
    </row>
    <row r="18" spans="2:14" x14ac:dyDescent="0.2">
      <c r="B18" s="262" t="s">
        <v>135</v>
      </c>
      <c r="C18" s="262"/>
      <c r="D18" s="263">
        <f t="shared" ref="D18:M18" si="17">D9-D16</f>
        <v>8319.2763466801243</v>
      </c>
      <c r="E18" s="263">
        <f t="shared" si="17"/>
        <v>22137.531755096184</v>
      </c>
      <c r="F18" s="264">
        <f t="shared" si="17"/>
        <v>28575.547313856128</v>
      </c>
      <c r="G18" s="527">
        <f t="shared" si="17"/>
        <v>29167.063174312134</v>
      </c>
      <c r="H18" s="528">
        <f t="shared" si="17"/>
        <v>29167.063174312134</v>
      </c>
      <c r="I18" s="529">
        <f t="shared" si="17"/>
        <v>58334.126348624268</v>
      </c>
      <c r="J18" s="263">
        <f t="shared" si="17"/>
        <v>87866.602882687395</v>
      </c>
      <c r="K18" s="263">
        <f t="shared" si="17"/>
        <v>109697.08059447774</v>
      </c>
      <c r="L18" s="263">
        <f t="shared" si="17"/>
        <v>134203.14386752504</v>
      </c>
      <c r="M18" s="263">
        <f t="shared" si="17"/>
        <v>162035.75257254072</v>
      </c>
      <c r="N18" s="263">
        <f t="shared" ref="N18" si="18">N9-N16</f>
        <v>194673.03765665984</v>
      </c>
    </row>
    <row r="19" spans="2:14" x14ac:dyDescent="0.2">
      <c r="B19" s="256"/>
      <c r="C19" s="257" t="s">
        <v>128</v>
      </c>
      <c r="D19" s="258">
        <f t="shared" ref="D19:M19" si="19">D18/D$5</f>
        <v>1.1199842147487456E-2</v>
      </c>
      <c r="E19" s="258">
        <f t="shared" si="19"/>
        <v>1.8675850761371422E-2</v>
      </c>
      <c r="F19" s="259">
        <f t="shared" si="19"/>
        <v>2.1597192164738738E-2</v>
      </c>
      <c r="G19" s="521">
        <f t="shared" si="19"/>
        <v>3.2031126335610768E-2</v>
      </c>
      <c r="H19" s="522">
        <f t="shared" si="19"/>
        <v>3.2031126335610768E-2</v>
      </c>
      <c r="I19" s="523">
        <f t="shared" si="19"/>
        <v>3.2031126335610768E-2</v>
      </c>
      <c r="J19" s="258">
        <f t="shared" si="19"/>
        <v>4.6185805890883155E-2</v>
      </c>
      <c r="K19" s="258">
        <f t="shared" si="19"/>
        <v>4.8616403066752335E-2</v>
      </c>
      <c r="L19" s="258">
        <f t="shared" si="19"/>
        <v>5.0083022807048259E-2</v>
      </c>
      <c r="M19" s="258">
        <f t="shared" si="19"/>
        <v>5.0855936559926394E-2</v>
      </c>
      <c r="N19" s="258">
        <f t="shared" ref="N19" si="20">N18/N$5</f>
        <v>5.1324928228041938E-2</v>
      </c>
    </row>
    <row r="20" spans="2:14" x14ac:dyDescent="0.2">
      <c r="B20" s="256"/>
      <c r="C20" s="256" t="s">
        <v>136</v>
      </c>
      <c r="D20" s="267">
        <f t="shared" ref="D20:M20" si="21">D11</f>
        <v>7432.3770940000004</v>
      </c>
      <c r="E20" s="267">
        <f t="shared" si="21"/>
        <v>13537.455988</v>
      </c>
      <c r="F20" s="268">
        <f t="shared" si="21"/>
        <v>15873.971768000001</v>
      </c>
      <c r="G20" s="533">
        <f t="shared" si="21"/>
        <v>19724.315835999998</v>
      </c>
      <c r="H20" s="534">
        <f t="shared" si="21"/>
        <v>19724.315835999998</v>
      </c>
      <c r="I20" s="535">
        <f t="shared" si="21"/>
        <v>39448.631671999996</v>
      </c>
      <c r="J20" s="267">
        <f t="shared" si="21"/>
        <v>33669.771896425009</v>
      </c>
      <c r="K20" s="267">
        <f t="shared" si="21"/>
        <v>30919.50262117176</v>
      </c>
      <c r="L20" s="267">
        <f t="shared" si="21"/>
        <v>28755.21455705534</v>
      </c>
      <c r="M20" s="267">
        <f t="shared" si="21"/>
        <v>27061.572967634995</v>
      </c>
      <c r="N20" s="267">
        <f t="shared" ref="N20" si="22">N11</f>
        <v>25746.401836287812</v>
      </c>
    </row>
    <row r="21" spans="2:14" x14ac:dyDescent="0.2">
      <c r="B21" s="256"/>
      <c r="C21" s="256" t="s">
        <v>137</v>
      </c>
      <c r="D21" s="267">
        <f>'CapEx,D&amp;A'!F5</f>
        <v>6203.4207329999999</v>
      </c>
      <c r="E21" s="267">
        <f>'CapEx,D&amp;A'!G5</f>
        <v>4496.4141410000002</v>
      </c>
      <c r="F21" s="268">
        <f>'CapEx,D&amp;A'!H5</f>
        <v>2238.379907</v>
      </c>
      <c r="G21" s="533">
        <f>'CapEx,D&amp;A'!I5</f>
        <v>2044.249278</v>
      </c>
      <c r="H21" s="534">
        <f>'CapEx,D&amp;A'!J5</f>
        <v>2044.249278</v>
      </c>
      <c r="I21" s="535">
        <f>'CapEx,D&amp;A'!K5</f>
        <v>4088.498556</v>
      </c>
      <c r="J21" s="267">
        <f>'CapEx,D&amp;A'!L5</f>
        <v>4256.2991545000004</v>
      </c>
      <c r="K21" s="267">
        <f>'CapEx,D&amp;A'!M5</f>
        <v>4469.1141122250001</v>
      </c>
      <c r="L21" s="267">
        <f>'CapEx,D&amp;A'!N5</f>
        <v>4692.5698178362509</v>
      </c>
      <c r="M21" s="267">
        <f>'CapEx,D&amp;A'!O5</f>
        <v>4927.1983087280632</v>
      </c>
      <c r="N21" s="267">
        <f>'CapEx,D&amp;A'!P5</f>
        <v>5173.5582241644661</v>
      </c>
    </row>
    <row r="22" spans="2:14" x14ac:dyDescent="0.2">
      <c r="B22" s="256"/>
      <c r="C22" s="256" t="s">
        <v>138</v>
      </c>
      <c r="D22" s="269"/>
      <c r="E22" s="269">
        <f>NWC!F22</f>
        <v>22572.17858599998</v>
      </c>
      <c r="F22" s="270">
        <f>NWC!G22</f>
        <v>8513.7289029999811</v>
      </c>
      <c r="G22" s="536">
        <f>NWC!H22</f>
        <v>-6672.7501549999288</v>
      </c>
      <c r="H22" s="537">
        <f>NWC!I22</f>
        <v>0</v>
      </c>
      <c r="I22" s="538">
        <f>NWC!J22</f>
        <v>-6672.7501549999288</v>
      </c>
      <c r="J22" s="269">
        <f>NWC!K22</f>
        <v>70631.837016452657</v>
      </c>
      <c r="K22" s="269">
        <f>NWC!L22</f>
        <v>22812.93333913738</v>
      </c>
      <c r="L22" s="269">
        <f>NWC!M22</f>
        <v>44703.840313157649</v>
      </c>
      <c r="M22" s="269">
        <f>NWC!N22</f>
        <v>53577.79637212021</v>
      </c>
      <c r="N22" s="269">
        <f>NWC!O22</f>
        <v>64265.799178047862</v>
      </c>
    </row>
    <row r="23" spans="2:14" x14ac:dyDescent="0.2">
      <c r="B23" s="262" t="s">
        <v>33</v>
      </c>
      <c r="C23" s="262"/>
      <c r="D23" s="271">
        <f t="shared" ref="D23:M23" si="23">D18+D20-D21-D22</f>
        <v>9548.2327076801266</v>
      </c>
      <c r="E23" s="271">
        <f t="shared" si="23"/>
        <v>8606.3950160962049</v>
      </c>
      <c r="F23" s="272">
        <f t="shared" si="23"/>
        <v>33697.410271856148</v>
      </c>
      <c r="G23" s="539">
        <f t="shared" si="23"/>
        <v>53519.879887312054</v>
      </c>
      <c r="H23" s="540">
        <f t="shared" si="23"/>
        <v>46847.129732312125</v>
      </c>
      <c r="I23" s="541">
        <f t="shared" si="23"/>
        <v>100367.00961962418</v>
      </c>
      <c r="J23" s="271">
        <f t="shared" si="23"/>
        <v>46648.238608159751</v>
      </c>
      <c r="K23" s="271">
        <f t="shared" si="23"/>
        <v>113334.53576428711</v>
      </c>
      <c r="L23" s="271">
        <f t="shared" si="23"/>
        <v>113561.94829358647</v>
      </c>
      <c r="M23" s="271">
        <f t="shared" si="23"/>
        <v>130592.33085932746</v>
      </c>
      <c r="N23" s="271">
        <f t="shared" ref="N23" si="24">N18+N20-N21-N22</f>
        <v>150980.08209073532</v>
      </c>
    </row>
    <row r="24" spans="2:14" x14ac:dyDescent="0.2">
      <c r="B24" s="256"/>
      <c r="C24" s="256" t="s">
        <v>139</v>
      </c>
      <c r="D24" s="273"/>
      <c r="E24" s="273"/>
      <c r="F24" s="274"/>
      <c r="G24" s="542"/>
      <c r="H24" s="543">
        <v>0.5</v>
      </c>
      <c r="I24" s="544"/>
      <c r="J24" s="275">
        <v>1</v>
      </c>
      <c r="K24" s="275">
        <v>1</v>
      </c>
      <c r="L24" s="275">
        <v>1</v>
      </c>
      <c r="M24" s="275">
        <v>1</v>
      </c>
      <c r="N24" s="275">
        <v>1</v>
      </c>
    </row>
    <row r="25" spans="2:14" x14ac:dyDescent="0.2">
      <c r="B25" s="256"/>
      <c r="C25" s="256" t="s">
        <v>140</v>
      </c>
      <c r="D25" s="273"/>
      <c r="E25" s="273"/>
      <c r="F25" s="274"/>
      <c r="G25" s="542"/>
      <c r="H25" s="543">
        <f>H24/2</f>
        <v>0.25</v>
      </c>
      <c r="I25" s="544"/>
      <c r="J25" s="275">
        <f>SUM($H$24:I24)+J24/2</f>
        <v>1</v>
      </c>
      <c r="K25" s="275">
        <f>SUM($H$24:J24)+K24/2</f>
        <v>2</v>
      </c>
      <c r="L25" s="275">
        <f>SUM($H$24:K24)+L24/2</f>
        <v>3</v>
      </c>
      <c r="M25" s="275">
        <f>SUM($H$24:L24)+M24/2</f>
        <v>4</v>
      </c>
      <c r="N25" s="275">
        <f>SUM($H$24:M24)+N24/2</f>
        <v>5</v>
      </c>
    </row>
    <row r="26" spans="2:14" x14ac:dyDescent="0.2">
      <c r="B26" s="256"/>
      <c r="C26" s="256" t="s">
        <v>141</v>
      </c>
      <c r="D26" s="273"/>
      <c r="E26" s="273"/>
      <c r="F26" s="274"/>
      <c r="G26" s="542"/>
      <c r="H26" s="545">
        <f>1/(1+$E$29)^H25</f>
        <v>0.97645408967631053</v>
      </c>
      <c r="I26" s="544"/>
      <c r="J26" s="276">
        <f>1/(1+$E$29)^J25</f>
        <v>0.90909090909090906</v>
      </c>
      <c r="K26" s="276">
        <f>1/(1+$E$29)^K25</f>
        <v>0.82644628099173545</v>
      </c>
      <c r="L26" s="276">
        <f>1/(1+$E$29)^L25</f>
        <v>0.75131480090157754</v>
      </c>
      <c r="M26" s="276">
        <f>1/(1+$E$29)^M25</f>
        <v>0.68301345536507052</v>
      </c>
      <c r="N26" s="276">
        <f>1/(1+$E$29)^N25</f>
        <v>0.62092132305915493</v>
      </c>
    </row>
    <row r="27" spans="2:14" ht="12.75" thickBot="1" x14ac:dyDescent="0.25">
      <c r="B27" s="277" t="s">
        <v>142</v>
      </c>
      <c r="C27" s="277"/>
      <c r="D27" s="278"/>
      <c r="E27" s="278"/>
      <c r="F27" s="279"/>
      <c r="G27" s="546"/>
      <c r="H27" s="547">
        <f>H23*H26</f>
        <v>45744.071416712861</v>
      </c>
      <c r="I27" s="548"/>
      <c r="J27" s="280">
        <f>J23*J26</f>
        <v>42407.489643781591</v>
      </c>
      <c r="K27" s="280">
        <f>K23*K26</f>
        <v>93664.905590319919</v>
      </c>
      <c r="L27" s="280">
        <f>L23*L26</f>
        <v>85320.772572191156</v>
      </c>
      <c r="M27" s="280">
        <f>M23*M26</f>
        <v>89196.319144407782</v>
      </c>
      <c r="N27" s="280">
        <f>N23*N26</f>
        <v>93746.752327359194</v>
      </c>
    </row>
    <row r="28" spans="2:14" x14ac:dyDescent="0.2">
      <c r="E28" s="281"/>
      <c r="F28" s="281"/>
      <c r="G28" s="281"/>
      <c r="H28" s="281"/>
    </row>
    <row r="29" spans="2:14" x14ac:dyDescent="0.2">
      <c r="B29" s="282" t="s">
        <v>143</v>
      </c>
      <c r="C29" s="283"/>
      <c r="D29" s="284"/>
      <c r="E29" s="285">
        <v>0.1</v>
      </c>
      <c r="F29" s="281"/>
      <c r="G29" s="281"/>
      <c r="H29" s="281"/>
    </row>
    <row r="30" spans="2:14" x14ac:dyDescent="0.2">
      <c r="B30" s="286" t="s">
        <v>144</v>
      </c>
      <c r="C30" s="283"/>
      <c r="D30" s="287"/>
      <c r="E30" s="288">
        <v>0.02</v>
      </c>
    </row>
    <row r="31" spans="2:14" ht="12.75" thickBot="1" x14ac:dyDescent="0.25"/>
    <row r="32" spans="2:14" x14ac:dyDescent="0.2">
      <c r="B32" s="550" t="s">
        <v>145</v>
      </c>
      <c r="C32" s="551"/>
      <c r="D32" s="552"/>
      <c r="E32" s="552"/>
      <c r="G32" s="289" t="s">
        <v>146</v>
      </c>
    </row>
    <row r="33" spans="2:13" ht="12.75" thickBot="1" x14ac:dyDescent="0.25">
      <c r="B33" s="324" t="s">
        <v>29</v>
      </c>
      <c r="C33" s="325"/>
      <c r="D33" s="324"/>
      <c r="E33" s="326"/>
      <c r="I33" s="290" t="s">
        <v>147</v>
      </c>
      <c r="J33" s="291"/>
      <c r="K33" s="291"/>
      <c r="L33" s="291"/>
      <c r="M33" s="291"/>
    </row>
    <row r="34" spans="2:13" x14ac:dyDescent="0.2">
      <c r="B34" s="292" t="s">
        <v>148</v>
      </c>
      <c r="C34" s="292"/>
      <c r="D34" s="293"/>
      <c r="E34" s="293">
        <f>SUM(H27:N27)</f>
        <v>450080.31069477252</v>
      </c>
      <c r="H34" s="556">
        <f>E43</f>
        <v>38115.011370831213</v>
      </c>
      <c r="I34" s="555">
        <v>0.08</v>
      </c>
      <c r="J34" s="555">
        <v>0.09</v>
      </c>
      <c r="K34" s="555">
        <v>0.1</v>
      </c>
      <c r="L34" s="555">
        <v>0.11</v>
      </c>
      <c r="M34" s="555">
        <v>0.12</v>
      </c>
    </row>
    <row r="35" spans="2:13" x14ac:dyDescent="0.2">
      <c r="B35" s="294" t="s">
        <v>149</v>
      </c>
      <c r="C35" s="292"/>
      <c r="D35" s="293"/>
      <c r="E35" s="293">
        <f>N18/(E29-E30)*N26</f>
        <v>1510958.0013214741</v>
      </c>
      <c r="H35" s="553">
        <v>0.01</v>
      </c>
      <c r="I35" s="267">
        <f t="dataTable" ref="I35:M39" dt2D="1" dtr="1" r1="E29" r2="E30"/>
        <v>46793.795183626389</v>
      </c>
      <c r="J35" s="267">
        <v>39882.807328042982</v>
      </c>
      <c r="K35" s="267">
        <v>34534.19699815505</v>
      </c>
      <c r="L35" s="267">
        <v>30277.910330049086</v>
      </c>
      <c r="M35" s="267">
        <v>26814.902317903779</v>
      </c>
    </row>
    <row r="36" spans="2:13" x14ac:dyDescent="0.2">
      <c r="B36" s="295" t="s">
        <v>150</v>
      </c>
      <c r="C36" s="296"/>
      <c r="D36" s="297"/>
      <c r="E36" s="297">
        <f>E34+E35</f>
        <v>1961038.3120162466</v>
      </c>
      <c r="G36" s="298" t="s">
        <v>151</v>
      </c>
      <c r="H36" s="553">
        <v>1.4999999999999999E-2</v>
      </c>
      <c r="I36" s="267">
        <v>49899.195268154559</v>
      </c>
      <c r="J36" s="299">
        <v>42131.67548207358</v>
      </c>
      <c r="K36" s="299">
        <v>36219.286114708535</v>
      </c>
      <c r="L36" s="299">
        <v>31574.81852757356</v>
      </c>
      <c r="M36" s="267">
        <v>27834.84469629317</v>
      </c>
    </row>
    <row r="37" spans="2:13" x14ac:dyDescent="0.2">
      <c r="B37" s="300" t="s">
        <v>152</v>
      </c>
      <c r="C37" s="296"/>
      <c r="D37" s="301"/>
      <c r="E37" s="302"/>
      <c r="G37" s="298" t="s">
        <v>153</v>
      </c>
      <c r="H37" s="553">
        <v>0.02</v>
      </c>
      <c r="I37" s="267">
        <v>53522.162033437438</v>
      </c>
      <c r="J37" s="299">
        <v>44701.810515251389</v>
      </c>
      <c r="K37" s="299">
        <v>38115.011370831213</v>
      </c>
      <c r="L37" s="299">
        <v>33015.827635934089</v>
      </c>
      <c r="M37" s="267">
        <v>28956.781312521503</v>
      </c>
    </row>
    <row r="38" spans="2:13" x14ac:dyDescent="0.2">
      <c r="B38" s="303" t="s">
        <v>154</v>
      </c>
      <c r="C38" s="292"/>
      <c r="D38" s="301"/>
      <c r="E38" s="304">
        <f>BS!H24+BS!H26+BS!H28+BS!H31+BS!H34-BS!H6-BS!H8</f>
        <v>174040.05446700004</v>
      </c>
      <c r="F38" s="181"/>
      <c r="H38" s="553">
        <v>2.5000000000000001E-2</v>
      </c>
      <c r="I38" s="267">
        <v>57803.850028771747</v>
      </c>
      <c r="J38" s="299">
        <v>47667.350938148877</v>
      </c>
      <c r="K38" s="299">
        <v>40263.499994436912</v>
      </c>
      <c r="L38" s="299">
        <v>34626.367227631155</v>
      </c>
      <c r="M38" s="267">
        <v>30196.816519931763</v>
      </c>
    </row>
    <row r="39" spans="2:13" ht="12.75" thickBot="1" x14ac:dyDescent="0.25">
      <c r="B39" s="305" t="s">
        <v>155</v>
      </c>
      <c r="C39" s="305"/>
      <c r="D39" s="306"/>
      <c r="E39" s="306">
        <f>E36+E37-E38</f>
        <v>1786998.2575492465</v>
      </c>
      <c r="H39" s="554">
        <v>0.03</v>
      </c>
      <c r="I39" s="307">
        <v>62941.875623172906</v>
      </c>
      <c r="J39" s="307">
        <v>51127.148098195932</v>
      </c>
      <c r="K39" s="307">
        <v>42718.915564271992</v>
      </c>
      <c r="L39" s="307">
        <v>36438.224268290352</v>
      </c>
      <c r="M39" s="307">
        <v>31574.633417054276</v>
      </c>
    </row>
    <row r="40" spans="2:13" x14ac:dyDescent="0.2">
      <c r="B40" s="308" t="s">
        <v>156</v>
      </c>
      <c r="C40" s="309"/>
      <c r="D40" s="309"/>
      <c r="E40" s="310">
        <f>E41-E42</f>
        <v>46884369</v>
      </c>
      <c r="F40" s="304"/>
    </row>
    <row r="41" spans="2:13" x14ac:dyDescent="0.2">
      <c r="B41" s="309"/>
      <c r="C41" s="311" t="s">
        <v>157</v>
      </c>
      <c r="D41" s="312"/>
      <c r="E41" s="313">
        <v>46884369</v>
      </c>
    </row>
    <row r="42" spans="2:13" x14ac:dyDescent="0.2">
      <c r="B42" s="309"/>
      <c r="C42" s="311" t="s">
        <v>158</v>
      </c>
      <c r="D42" s="312"/>
      <c r="E42" s="557">
        <v>0</v>
      </c>
      <c r="I42" s="314"/>
    </row>
    <row r="43" spans="2:13" ht="12.75" thickBot="1" x14ac:dyDescent="0.25">
      <c r="B43" s="315" t="s">
        <v>159</v>
      </c>
      <c r="C43" s="315"/>
      <c r="D43" s="315"/>
      <c r="E43" s="316">
        <f>(E39*10^6/E40)</f>
        <v>38115.011370831213</v>
      </c>
    </row>
    <row r="44" spans="2:13" x14ac:dyDescent="0.2">
      <c r="C44" s="317"/>
      <c r="D44" s="318"/>
      <c r="E44" s="319"/>
    </row>
  </sheetData>
  <phoneticPr fontId="2" type="noConversion"/>
  <hyperlinks>
    <hyperlink ref="E1" location="Index!A1" display="Index!A1" xr:uid="{2DDCA0FF-D922-48CF-A9D7-88D2AB52978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4599B-05C9-4F9F-A9EF-D856CDC2D7D3}">
  <dimension ref="B1:Z164"/>
  <sheetViews>
    <sheetView showGridLines="0" zoomScaleNormal="100" workbookViewId="0">
      <selection activeCell="P4" sqref="P4"/>
    </sheetView>
  </sheetViews>
  <sheetFormatPr defaultColWidth="9.28515625" defaultRowHeight="12" outlineLevelRow="2" outlineLevelCol="1" x14ac:dyDescent="0.2"/>
  <cols>
    <col min="1" max="7" width="1.7109375" style="1" customWidth="1"/>
    <col min="8" max="8" width="17.42578125" style="1" customWidth="1"/>
    <col min="9" max="9" width="16.7109375" style="1" bestFit="1" customWidth="1"/>
    <col min="10" max="11" width="12.42578125" style="1" bestFit="1" customWidth="1"/>
    <col min="12" max="13" width="11.28515625" style="1" customWidth="1" outlineLevel="1"/>
    <col min="14" max="19" width="11.28515625" style="1" customWidth="1"/>
    <col min="20" max="20" width="9.28515625" style="1"/>
    <col min="21" max="26" width="9.140625" customWidth="1"/>
    <col min="27" max="16384" width="9.28515625" style="1"/>
  </cols>
  <sheetData>
    <row r="1" spans="2:19" ht="15" x14ac:dyDescent="0.2">
      <c r="B1" s="25" t="s">
        <v>160</v>
      </c>
      <c r="I1" s="614" t="s">
        <v>0</v>
      </c>
    </row>
    <row r="3" spans="2:19" x14ac:dyDescent="0.2">
      <c r="I3" s="242" t="s">
        <v>26</v>
      </c>
      <c r="J3" s="242"/>
      <c r="K3" s="242"/>
      <c r="L3" s="242"/>
      <c r="M3" s="243"/>
      <c r="N3" s="243" t="s">
        <v>28</v>
      </c>
      <c r="O3" s="241"/>
      <c r="P3" s="241"/>
      <c r="Q3" s="241"/>
      <c r="R3" s="241"/>
      <c r="S3" s="241"/>
    </row>
    <row r="4" spans="2:19" x14ac:dyDescent="0.2">
      <c r="B4" s="117" t="s">
        <v>29</v>
      </c>
      <c r="C4" s="117"/>
      <c r="D4" s="117"/>
      <c r="E4" s="117"/>
      <c r="F4" s="117"/>
      <c r="G4" s="117"/>
      <c r="H4" s="117"/>
      <c r="I4" s="117">
        <v>2018</v>
      </c>
      <c r="J4" s="117">
        <v>2019</v>
      </c>
      <c r="K4" s="117">
        <v>2020</v>
      </c>
      <c r="L4" s="197" t="s">
        <v>30</v>
      </c>
      <c r="M4" s="359" t="s">
        <v>31</v>
      </c>
      <c r="N4" s="198">
        <v>2021</v>
      </c>
      <c r="O4" s="118">
        <v>2022</v>
      </c>
      <c r="P4" s="118">
        <f>O4+1</f>
        <v>2023</v>
      </c>
      <c r="Q4" s="118">
        <f>P4+1</f>
        <v>2024</v>
      </c>
      <c r="R4" s="118">
        <f>Q4+1</f>
        <v>2025</v>
      </c>
      <c r="S4" s="118">
        <f>R4+1</f>
        <v>2026</v>
      </c>
    </row>
    <row r="5" spans="2:19" x14ac:dyDescent="0.2">
      <c r="B5" s="119" t="s">
        <v>99</v>
      </c>
      <c r="C5" s="120"/>
      <c r="D5" s="120"/>
      <c r="E5" s="120"/>
      <c r="F5" s="120"/>
      <c r="G5" s="120"/>
      <c r="H5" s="120"/>
      <c r="I5" s="121">
        <f t="shared" ref="I5:S5" si="0">I8+I74</f>
        <v>674404</v>
      </c>
      <c r="J5" s="121">
        <f t="shared" si="0"/>
        <v>1070801</v>
      </c>
      <c r="K5" s="121">
        <f t="shared" si="0"/>
        <v>1184650</v>
      </c>
      <c r="L5" s="199">
        <f t="shared" si="0"/>
        <v>792061</v>
      </c>
      <c r="M5" s="360">
        <f t="shared" si="0"/>
        <v>792061</v>
      </c>
      <c r="N5" s="200">
        <f t="shared" si="0"/>
        <v>1584122</v>
      </c>
      <c r="O5" s="121">
        <f t="shared" si="0"/>
        <v>1630322.7056673074</v>
      </c>
      <c r="P5" s="121">
        <f t="shared" si="0"/>
        <v>1930634.2692371272</v>
      </c>
      <c r="Q5" s="121">
        <f t="shared" si="0"/>
        <v>2289581.7139302362</v>
      </c>
      <c r="R5" s="121">
        <f t="shared" si="0"/>
        <v>2719037.4976355303</v>
      </c>
      <c r="S5" s="121">
        <f t="shared" si="0"/>
        <v>3233329.0625854293</v>
      </c>
    </row>
    <row r="6" spans="2:19" x14ac:dyDescent="0.2">
      <c r="B6" s="93"/>
      <c r="C6" s="97" t="s">
        <v>161</v>
      </c>
      <c r="D6" s="97"/>
      <c r="E6" s="93"/>
      <c r="F6" s="93"/>
      <c r="G6" s="93"/>
      <c r="H6" s="93"/>
      <c r="I6" s="100"/>
      <c r="J6" s="115">
        <f>J5/(I5/9*12)-1</f>
        <v>0.1908303479813287</v>
      </c>
      <c r="K6" s="115">
        <f>K5/J5-1</f>
        <v>0.1063213426210845</v>
      </c>
      <c r="L6" s="203">
        <f>(L5*2)/K5-1</f>
        <v>0.33720676993204735</v>
      </c>
      <c r="M6" s="362">
        <f>L6</f>
        <v>0.33720676993204735</v>
      </c>
      <c r="N6" s="204">
        <f>N5/K5-1</f>
        <v>0.33720676993204735</v>
      </c>
      <c r="O6" s="115">
        <f>O5/N5-1</f>
        <v>2.9164865879842239E-2</v>
      </c>
      <c r="P6" s="115">
        <f>P5/O5-1</f>
        <v>0.18420375458544536</v>
      </c>
      <c r="Q6" s="115">
        <f>Q5/P5-1</f>
        <v>0.1859220311234524</v>
      </c>
      <c r="R6" s="115">
        <f>R5/Q5-1</f>
        <v>0.18756953774237717</v>
      </c>
      <c r="S6" s="115">
        <f>S5/R5-1</f>
        <v>0.1891447121994918</v>
      </c>
    </row>
    <row r="7" spans="2:19" x14ac:dyDescent="0.2">
      <c r="B7" s="93"/>
      <c r="C7" s="97" t="s">
        <v>162</v>
      </c>
      <c r="D7" s="97"/>
      <c r="E7" s="93"/>
      <c r="F7" s="93"/>
      <c r="G7" s="93"/>
      <c r="H7" s="93"/>
      <c r="I7" s="426">
        <f t="shared" ref="I7:S7" si="1">I10+I76</f>
        <v>52196</v>
      </c>
      <c r="J7" s="426">
        <f t="shared" si="1"/>
        <v>84328</v>
      </c>
      <c r="K7" s="426">
        <f t="shared" si="1"/>
        <v>90149</v>
      </c>
      <c r="L7" s="445">
        <f t="shared" si="1"/>
        <v>54426</v>
      </c>
      <c r="M7" s="447">
        <f t="shared" si="1"/>
        <v>54426</v>
      </c>
      <c r="N7" s="460">
        <f t="shared" si="1"/>
        <v>108852</v>
      </c>
      <c r="O7" s="426">
        <f t="shared" si="1"/>
        <v>111343.66858285572</v>
      </c>
      <c r="P7" s="426">
        <f t="shared" si="1"/>
        <v>131007.23774056818</v>
      </c>
      <c r="Q7" s="426">
        <f t="shared" si="1"/>
        <v>154343.0042739372</v>
      </c>
      <c r="R7" s="426">
        <f t="shared" si="1"/>
        <v>182059.35601250565</v>
      </c>
      <c r="S7" s="426">
        <f t="shared" si="1"/>
        <v>215003.75318716586</v>
      </c>
    </row>
    <row r="8" spans="2:19" x14ac:dyDescent="0.2">
      <c r="B8" s="93"/>
      <c r="C8" s="93" t="s">
        <v>163</v>
      </c>
      <c r="D8" s="93"/>
      <c r="E8" s="93"/>
      <c r="F8" s="93"/>
      <c r="G8" s="93"/>
      <c r="H8" s="93"/>
      <c r="I8" s="125">
        <f t="shared" ref="I8:S8" si="2">I11+I20+I29+I38+I47+I56+I65</f>
        <v>155662</v>
      </c>
      <c r="J8" s="125">
        <f t="shared" si="2"/>
        <v>284782</v>
      </c>
      <c r="K8" s="125">
        <f t="shared" si="2"/>
        <v>408225</v>
      </c>
      <c r="L8" s="201">
        <f t="shared" si="2"/>
        <v>322919</v>
      </c>
      <c r="M8" s="361">
        <f t="shared" si="2"/>
        <v>322919</v>
      </c>
      <c r="N8" s="202">
        <f t="shared" si="2"/>
        <v>645838</v>
      </c>
      <c r="O8" s="125">
        <f t="shared" si="2"/>
        <v>645658.77897905768</v>
      </c>
      <c r="P8" s="125">
        <f t="shared" si="2"/>
        <v>737221.59009096853</v>
      </c>
      <c r="Q8" s="125">
        <f t="shared" si="2"/>
        <v>843165.54680509155</v>
      </c>
      <c r="R8" s="125">
        <f t="shared" si="2"/>
        <v>965981.10307985567</v>
      </c>
      <c r="S8" s="125">
        <f t="shared" si="2"/>
        <v>1108624.7123839513</v>
      </c>
    </row>
    <row r="9" spans="2:19" x14ac:dyDescent="0.2">
      <c r="B9" s="93"/>
      <c r="C9" s="96"/>
      <c r="D9" s="97" t="s">
        <v>161</v>
      </c>
      <c r="E9" s="93"/>
      <c r="F9" s="93"/>
      <c r="G9" s="93"/>
      <c r="H9" s="93"/>
      <c r="I9" s="100"/>
      <c r="J9" s="115">
        <f>J8/(I8/9*12)-1</f>
        <v>0.37211715126363543</v>
      </c>
      <c r="K9" s="115">
        <f>K8/J8-1</f>
        <v>0.43346489595550275</v>
      </c>
      <c r="L9" s="203">
        <f>(L8*2)/K8-1</f>
        <v>0.58206381284830666</v>
      </c>
      <c r="M9" s="362">
        <f>L9</f>
        <v>0.58206381284830666</v>
      </c>
      <c r="N9" s="204">
        <f>N8/K8-1</f>
        <v>0.58206381284830666</v>
      </c>
      <c r="O9" s="115">
        <f>O8/N8-1</f>
        <v>-2.7750151112559962E-4</v>
      </c>
      <c r="P9" s="115">
        <f>P8/O8-1</f>
        <v>0.1418130041640473</v>
      </c>
      <c r="Q9" s="115">
        <f>Q8/P8-1</f>
        <v>0.14370707279618622</v>
      </c>
      <c r="R9" s="115">
        <f>R8/Q8-1</f>
        <v>0.14566007439480266</v>
      </c>
      <c r="S9" s="115">
        <f>S8/R8-1</f>
        <v>0.14766708049391686</v>
      </c>
    </row>
    <row r="10" spans="2:19" x14ac:dyDescent="0.2">
      <c r="B10" s="93"/>
      <c r="C10" s="96"/>
      <c r="D10" s="97" t="s">
        <v>164</v>
      </c>
      <c r="E10" s="93"/>
      <c r="F10" s="93"/>
      <c r="G10" s="93"/>
      <c r="H10" s="93"/>
      <c r="I10" s="426">
        <f t="shared" ref="I10:S10" si="3">I15+I24+I33+I42+I51+I60+I69</f>
        <v>12700</v>
      </c>
      <c r="J10" s="426">
        <f t="shared" si="3"/>
        <v>22554</v>
      </c>
      <c r="K10" s="426">
        <f t="shared" si="3"/>
        <v>31274</v>
      </c>
      <c r="L10" s="445">
        <f t="shared" si="3"/>
        <v>22920</v>
      </c>
      <c r="M10" s="447">
        <f t="shared" si="3"/>
        <v>22920</v>
      </c>
      <c r="N10" s="460">
        <f t="shared" si="3"/>
        <v>45840</v>
      </c>
      <c r="O10" s="426">
        <f t="shared" si="3"/>
        <v>45871.668582855724</v>
      </c>
      <c r="P10" s="426">
        <f t="shared" si="3"/>
        <v>52440.837740568189</v>
      </c>
      <c r="Q10" s="426">
        <f t="shared" si="3"/>
        <v>60063.324273937251</v>
      </c>
      <c r="R10" s="426">
        <f t="shared" si="3"/>
        <v>68923.740012505688</v>
      </c>
      <c r="S10" s="426">
        <f t="shared" si="3"/>
        <v>79241.013987165905</v>
      </c>
    </row>
    <row r="11" spans="2:19" hidden="1" outlineLevel="1" x14ac:dyDescent="0.2">
      <c r="B11" s="93"/>
      <c r="C11" s="93"/>
      <c r="D11" s="94" t="s">
        <v>165</v>
      </c>
      <c r="E11" s="93"/>
      <c r="F11" s="93"/>
      <c r="G11" s="93"/>
      <c r="H11" s="93"/>
      <c r="I11" s="95">
        <f t="shared" ref="I11:S11" si="4">I15*I13/1000</f>
        <v>41557.999999999993</v>
      </c>
      <c r="J11" s="95">
        <f t="shared" si="4"/>
        <v>81857</v>
      </c>
      <c r="K11" s="95">
        <f t="shared" si="4"/>
        <v>120580</v>
      </c>
      <c r="L11" s="205">
        <f t="shared" si="4"/>
        <v>98632</v>
      </c>
      <c r="M11" s="363">
        <f t="shared" si="4"/>
        <v>98632</v>
      </c>
      <c r="N11" s="206">
        <f t="shared" si="4"/>
        <v>197264</v>
      </c>
      <c r="O11" s="95">
        <f t="shared" si="4"/>
        <v>192195.55455497379</v>
      </c>
      <c r="P11" s="95">
        <f t="shared" si="4"/>
        <v>213529.26111057593</v>
      </c>
      <c r="Q11" s="95">
        <f t="shared" si="4"/>
        <v>237231.00909384983</v>
      </c>
      <c r="R11" s="95">
        <f t="shared" si="4"/>
        <v>263563.65110326716</v>
      </c>
      <c r="S11" s="95">
        <f t="shared" si="4"/>
        <v>292819.21637572988</v>
      </c>
    </row>
    <row r="12" spans="2:19" hidden="1" outlineLevel="1" x14ac:dyDescent="0.2">
      <c r="B12" s="93"/>
      <c r="C12" s="93"/>
      <c r="D12" s="94"/>
      <c r="E12" s="97" t="s">
        <v>161</v>
      </c>
      <c r="F12" s="97"/>
      <c r="G12" s="97"/>
      <c r="H12" s="97"/>
      <c r="I12" s="95"/>
      <c r="J12" s="115">
        <f>J11/(I11/9*12)-1</f>
        <v>0.4772787429616443</v>
      </c>
      <c r="K12" s="115">
        <f>K11/J11-1</f>
        <v>0.47305667200117285</v>
      </c>
      <c r="L12" s="203">
        <f>(L11*2)/K11-1</f>
        <v>0.6359595289434401</v>
      </c>
      <c r="M12" s="362">
        <f>L12</f>
        <v>0.6359595289434401</v>
      </c>
      <c r="N12" s="204">
        <f>N11/K11-1</f>
        <v>0.6359595289434401</v>
      </c>
      <c r="O12" s="115">
        <f>O11/N11-1</f>
        <v>-2.5693717277487038E-2</v>
      </c>
      <c r="P12" s="115">
        <f>P11/O11-1</f>
        <v>0.11100000000000021</v>
      </c>
      <c r="Q12" s="115">
        <f>Q11/P11-1</f>
        <v>0.11099999999999999</v>
      </c>
      <c r="R12" s="115">
        <f>R11/Q11-1</f>
        <v>0.11099999999999999</v>
      </c>
      <c r="S12" s="115">
        <f>S11/R11-1</f>
        <v>0.11100000000000021</v>
      </c>
    </row>
    <row r="13" spans="2:19" hidden="1" outlineLevel="2" x14ac:dyDescent="0.2">
      <c r="B13" s="93"/>
      <c r="C13" s="93"/>
      <c r="D13" s="93"/>
      <c r="E13" s="99" t="s">
        <v>166</v>
      </c>
      <c r="F13" s="99"/>
      <c r="G13" s="99"/>
      <c r="H13" s="99"/>
      <c r="I13" s="98">
        <f>'Dart_중고차 Sales'!D47</f>
        <v>15767.147107830924</v>
      </c>
      <c r="J13" s="98">
        <f>'Dart_중고차 Sales'!E47</f>
        <v>15772.841435851604</v>
      </c>
      <c r="K13" s="98">
        <f>'Dart_중고차 Sales'!F47</f>
        <v>16122.496763561683</v>
      </c>
      <c r="L13" s="207">
        <f>'Dart_중고차 Sales'!G47</f>
        <v>17629.367007506316</v>
      </c>
      <c r="M13" s="364">
        <f>L13</f>
        <v>17629.367007506316</v>
      </c>
      <c r="N13" s="208">
        <f>M13</f>
        <v>17629.367007506316</v>
      </c>
      <c r="O13" s="98">
        <f>(1+Control!J15)*N13</f>
        <v>17805.660677581378</v>
      </c>
      <c r="P13" s="98">
        <f>(1+Control!K15)*O13</f>
        <v>17983.717284357193</v>
      </c>
      <c r="Q13" s="98">
        <f>(1+Control!L15)*P13</f>
        <v>18163.554457200764</v>
      </c>
      <c r="R13" s="98">
        <f>(1+Control!M15)*Q13</f>
        <v>18345.190001772771</v>
      </c>
      <c r="S13" s="98">
        <f>(1+Control!N15)*R13</f>
        <v>18528.641901790499</v>
      </c>
    </row>
    <row r="14" spans="2:19" hidden="1" outlineLevel="2" x14ac:dyDescent="0.2">
      <c r="B14" s="93"/>
      <c r="C14" s="93"/>
      <c r="D14" s="93"/>
      <c r="E14" s="99"/>
      <c r="F14" s="97" t="s">
        <v>161</v>
      </c>
      <c r="G14" s="97"/>
      <c r="H14" s="97"/>
      <c r="I14" s="98"/>
      <c r="J14" s="115">
        <f>J13/(I13)-1</f>
        <v>3.6115144875203953E-4</v>
      </c>
      <c r="K14" s="115">
        <f>K13/J13-1</f>
        <v>2.2168188853741499E-2</v>
      </c>
      <c r="L14" s="203">
        <f>(L13)/K13-1</f>
        <v>9.3463826728766852E-2</v>
      </c>
      <c r="M14" s="362">
        <f>L14</f>
        <v>9.3463826728766852E-2</v>
      </c>
      <c r="N14" s="204">
        <f>N13/K13-1</f>
        <v>9.3463826728766852E-2</v>
      </c>
      <c r="O14" s="115">
        <f>O13/N13-1</f>
        <v>1.0000000000000009E-2</v>
      </c>
      <c r="P14" s="115">
        <f>P13/O13-1</f>
        <v>1.0000000000000009E-2</v>
      </c>
      <c r="Q14" s="115">
        <f>Q13/P13-1</f>
        <v>1.0000000000000009E-2</v>
      </c>
      <c r="R14" s="115">
        <f>R13/Q13-1</f>
        <v>1.0000000000000009E-2</v>
      </c>
      <c r="S14" s="115">
        <f>S13/R13-1</f>
        <v>1.0000000000000009E-2</v>
      </c>
    </row>
    <row r="15" spans="2:19" hidden="1" outlineLevel="2" x14ac:dyDescent="0.2">
      <c r="B15" s="93"/>
      <c r="C15" s="93"/>
      <c r="D15" s="93"/>
      <c r="E15" s="99" t="s">
        <v>167</v>
      </c>
      <c r="F15" s="99"/>
      <c r="G15" s="99"/>
      <c r="H15" s="99"/>
      <c r="I15" s="98">
        <f>'Dart_중고차 Sales'!D36</f>
        <v>2635.7336375303917</v>
      </c>
      <c r="J15" s="98">
        <f>'Dart_중고차 Sales'!E36</f>
        <v>5189.7434164233318</v>
      </c>
      <c r="K15" s="98">
        <f>'Dart_중고차 Sales'!F36</f>
        <v>7478.9904918772772</v>
      </c>
      <c r="L15" s="207">
        <f>'Dart_중고차 Sales'!G36</f>
        <v>5594.7556119288911</v>
      </c>
      <c r="M15" s="364">
        <f>L15</f>
        <v>5594.7556119288911</v>
      </c>
      <c r="N15" s="208">
        <f>L15+M15</f>
        <v>11189.511223857782</v>
      </c>
      <c r="O15" s="98">
        <f>O17*O19</f>
        <v>10794.070382176942</v>
      </c>
      <c r="P15" s="98">
        <f>P17*P19</f>
        <v>11873.477420394638</v>
      </c>
      <c r="Q15" s="98">
        <f>Q17*Q19</f>
        <v>13060.825162434103</v>
      </c>
      <c r="R15" s="98">
        <f>R17*R19</f>
        <v>14366.907678677513</v>
      </c>
      <c r="S15" s="98">
        <f>S17*S19</f>
        <v>15803.598446545266</v>
      </c>
    </row>
    <row r="16" spans="2:19" hidden="1" outlineLevel="2" x14ac:dyDescent="0.2">
      <c r="B16" s="93"/>
      <c r="C16" s="93"/>
      <c r="D16" s="93"/>
      <c r="E16" s="99"/>
      <c r="F16" s="97" t="s">
        <v>161</v>
      </c>
      <c r="G16" s="97"/>
      <c r="H16" s="97"/>
      <c r="I16" s="98"/>
      <c r="J16" s="115">
        <f>J15/(I15/9*12)-1</f>
        <v>0.47674541421586203</v>
      </c>
      <c r="K16" s="115">
        <f>K15/J15-1</f>
        <v>0.44110987610860519</v>
      </c>
      <c r="L16" s="203">
        <f>(L15*2)/K15-1</f>
        <v>0.49612587902209504</v>
      </c>
      <c r="M16" s="362">
        <f>L16</f>
        <v>0.49612587902209504</v>
      </c>
      <c r="N16" s="204">
        <f>N15/K15-1</f>
        <v>0.49612587902209504</v>
      </c>
      <c r="O16" s="115">
        <f>O15/N15-1</f>
        <v>-3.5340314136125817E-2</v>
      </c>
      <c r="P16" s="115">
        <f>P15/O15-1</f>
        <v>0.10000000000000009</v>
      </c>
      <c r="Q16" s="115">
        <f>Q15/P15-1</f>
        <v>0.10000000000000009</v>
      </c>
      <c r="R16" s="115">
        <f>R15/Q15-1</f>
        <v>0.10000000000000009</v>
      </c>
      <c r="S16" s="115">
        <f>S15/R15-1</f>
        <v>0.10000000000000009</v>
      </c>
    </row>
    <row r="17" spans="2:19" hidden="1" outlineLevel="2" x14ac:dyDescent="0.2">
      <c r="B17" s="93"/>
      <c r="C17" s="93"/>
      <c r="D17" s="93"/>
      <c r="E17" s="99"/>
      <c r="F17" s="97"/>
      <c r="G17" s="219" t="s">
        <v>168</v>
      </c>
      <c r="H17" s="219"/>
      <c r="I17" s="157">
        <f>I15/I19</f>
        <v>3528.1473888202095</v>
      </c>
      <c r="J17" s="157">
        <f>J15/J19</f>
        <v>5522.4723771464023</v>
      </c>
      <c r="K17" s="157">
        <f>K15/K19</f>
        <v>9565.7613249053866</v>
      </c>
      <c r="L17" s="209">
        <f>L15/L19</f>
        <v>8177.3260471037447</v>
      </c>
      <c r="M17" s="365">
        <f>M15/M19</f>
        <v>8177.3260471037447</v>
      </c>
      <c r="N17" s="210">
        <f>L17+M17</f>
        <v>16354.652094207489</v>
      </c>
      <c r="O17" s="157">
        <f>(1+Control!J16)*N17</f>
        <v>17990.117303628238</v>
      </c>
      <c r="P17" s="157">
        <f>(1+Control!K16)*O17</f>
        <v>19789.129033991063</v>
      </c>
      <c r="Q17" s="157">
        <f>(1+Control!L16)*P17</f>
        <v>21768.041937390171</v>
      </c>
      <c r="R17" s="157">
        <f>(1+Control!M16)*Q17</f>
        <v>23944.84613112919</v>
      </c>
      <c r="S17" s="157">
        <f>(1+Control!N16)*R17</f>
        <v>26339.33074424211</v>
      </c>
    </row>
    <row r="18" spans="2:19" hidden="1" outlineLevel="2" x14ac:dyDescent="0.2">
      <c r="B18" s="93"/>
      <c r="C18" s="93"/>
      <c r="D18" s="93"/>
      <c r="E18" s="99"/>
      <c r="F18" s="97"/>
      <c r="G18" s="97"/>
      <c r="H18" s="97" t="s">
        <v>161</v>
      </c>
      <c r="I18" s="98"/>
      <c r="J18" s="115">
        <f>J17/I17-1</f>
        <v>0.56526124578743375</v>
      </c>
      <c r="K18" s="115">
        <f>K17/J17-1</f>
        <v>0.73215195507202369</v>
      </c>
      <c r="L18" s="203">
        <f>(L17*2)/K17-1</f>
        <v>0.70970731327223979</v>
      </c>
      <c r="M18" s="362">
        <f>L18</f>
        <v>0.70970731327223979</v>
      </c>
      <c r="N18" s="204">
        <f>N17/K17-1</f>
        <v>0.70970731327223979</v>
      </c>
      <c r="O18" s="115">
        <f>O17/N17-1</f>
        <v>0.10000000000000009</v>
      </c>
      <c r="P18" s="115">
        <f>P17/O17-1</f>
        <v>0.10000000000000009</v>
      </c>
      <c r="Q18" s="115">
        <f>Q17/P17-1</f>
        <v>0.10000000000000009</v>
      </c>
      <c r="R18" s="115">
        <f>R17/Q17-1</f>
        <v>0.10000000000000009</v>
      </c>
      <c r="S18" s="115">
        <f>S17/R17-1</f>
        <v>0.10000000000000009</v>
      </c>
    </row>
    <row r="19" spans="2:19" hidden="1" outlineLevel="2" x14ac:dyDescent="0.2">
      <c r="B19" s="93"/>
      <c r="C19" s="93"/>
      <c r="D19" s="93"/>
      <c r="E19" s="99"/>
      <c r="F19" s="97"/>
      <c r="G19" s="219" t="s">
        <v>169</v>
      </c>
      <c r="H19" s="219"/>
      <c r="I19" s="158">
        <f>Dart_시장리서치!F$43</f>
        <v>0.74705882352941178</v>
      </c>
      <c r="J19" s="158">
        <f>Dart_시장리서치!G$43</f>
        <v>0.93974999999999997</v>
      </c>
      <c r="K19" s="158">
        <f>Dart_시장리서치!H$43</f>
        <v>0.78185000000000004</v>
      </c>
      <c r="L19" s="211">
        <f>Dart_시장리서치!I$43</f>
        <v>0.68417910447761199</v>
      </c>
      <c r="M19" s="366">
        <f>L19</f>
        <v>0.68417910447761199</v>
      </c>
      <c r="N19" s="212">
        <f>M19</f>
        <v>0.68417910447761199</v>
      </c>
      <c r="O19" s="158">
        <f>Control!J17</f>
        <v>0.6</v>
      </c>
      <c r="P19" s="158">
        <f>Control!K17</f>
        <v>0.6</v>
      </c>
      <c r="Q19" s="158">
        <f>Control!L17</f>
        <v>0.6</v>
      </c>
      <c r="R19" s="158">
        <f>Control!M17</f>
        <v>0.6</v>
      </c>
      <c r="S19" s="158">
        <f>Control!N17</f>
        <v>0.6</v>
      </c>
    </row>
    <row r="20" spans="2:19" hidden="1" outlineLevel="1" x14ac:dyDescent="0.2">
      <c r="B20" s="93"/>
      <c r="C20" s="93"/>
      <c r="D20" s="94" t="s">
        <v>170</v>
      </c>
      <c r="E20" s="93"/>
      <c r="F20" s="93"/>
      <c r="G20" s="93"/>
      <c r="H20" s="93"/>
      <c r="I20" s="95">
        <f t="shared" ref="I20:S20" si="5">I24*I22/1000</f>
        <v>32669.000000000004</v>
      </c>
      <c r="J20" s="95">
        <f t="shared" si="5"/>
        <v>59689</v>
      </c>
      <c r="K20" s="95">
        <f t="shared" si="5"/>
        <v>82519</v>
      </c>
      <c r="L20" s="205">
        <f t="shared" si="5"/>
        <v>68474</v>
      </c>
      <c r="M20" s="363">
        <f t="shared" si="5"/>
        <v>68474</v>
      </c>
      <c r="N20" s="206">
        <f t="shared" si="5"/>
        <v>136948</v>
      </c>
      <c r="O20" s="95">
        <f t="shared" si="5"/>
        <v>133429.29680628274</v>
      </c>
      <c r="P20" s="95">
        <f t="shared" si="5"/>
        <v>148239.94875178012</v>
      </c>
      <c r="Q20" s="95">
        <f t="shared" si="5"/>
        <v>164694.58306322771</v>
      </c>
      <c r="R20" s="95">
        <f t="shared" si="5"/>
        <v>182975.68178324602</v>
      </c>
      <c r="S20" s="95">
        <f t="shared" si="5"/>
        <v>203285.98246118639</v>
      </c>
    </row>
    <row r="21" spans="2:19" hidden="1" outlineLevel="1" x14ac:dyDescent="0.2">
      <c r="B21" s="93"/>
      <c r="C21" s="93"/>
      <c r="D21" s="94"/>
      <c r="E21" s="97" t="s">
        <v>161</v>
      </c>
      <c r="F21" s="97"/>
      <c r="G21" s="97"/>
      <c r="H21" s="97"/>
      <c r="I21" s="95"/>
      <c r="J21" s="115">
        <f>J20/(I20/9*12)-1</f>
        <v>0.3703128347975142</v>
      </c>
      <c r="K21" s="115">
        <f>K20/J20-1</f>
        <v>0.38248253447033798</v>
      </c>
      <c r="L21" s="203">
        <f>(L20*2)/K20-1</f>
        <v>0.65959354815254678</v>
      </c>
      <c r="M21" s="362">
        <f>L21</f>
        <v>0.65959354815254678</v>
      </c>
      <c r="N21" s="204">
        <f>N20/K20-1</f>
        <v>0.65959354815254678</v>
      </c>
      <c r="O21" s="115">
        <f>O20/N20-1</f>
        <v>-2.5693717277486816E-2</v>
      </c>
      <c r="P21" s="115">
        <f>P20/O20-1</f>
        <v>0.11099999999999999</v>
      </c>
      <c r="Q21" s="115">
        <f>Q20/P20-1</f>
        <v>0.11099999999999999</v>
      </c>
      <c r="R21" s="115">
        <f>R20/Q20-1</f>
        <v>0.11100000000000021</v>
      </c>
      <c r="S21" s="115">
        <f>S20/R20-1</f>
        <v>0.11100000000000021</v>
      </c>
    </row>
    <row r="22" spans="2:19" hidden="1" outlineLevel="2" x14ac:dyDescent="0.2">
      <c r="B22" s="93"/>
      <c r="C22" s="93"/>
      <c r="D22" s="93"/>
      <c r="E22" s="99" t="s">
        <v>166</v>
      </c>
      <c r="F22" s="99"/>
      <c r="G22" s="99"/>
      <c r="H22" s="99"/>
      <c r="I22" s="98">
        <f>'Dart_중고차 Sales'!D48</f>
        <v>17143.606433591267</v>
      </c>
      <c r="J22" s="98">
        <f>'Dart_중고차 Sales'!E48</f>
        <v>17814.301747779693</v>
      </c>
      <c r="K22" s="98">
        <f>'Dart_중고차 Sales'!F48</f>
        <v>18333.616090509393</v>
      </c>
      <c r="L22" s="207">
        <f>'Dart_중고차 Sales'!G48</f>
        <v>19158.988087784186</v>
      </c>
      <c r="M22" s="364">
        <f>L22</f>
        <v>19158.988087784186</v>
      </c>
      <c r="N22" s="208">
        <f>M22</f>
        <v>19158.988087784186</v>
      </c>
      <c r="O22" s="98">
        <f>(1+Control!J18)*N22</f>
        <v>19350.57796866203</v>
      </c>
      <c r="P22" s="98">
        <f>(1+Control!K18)*O22</f>
        <v>19544.08374834865</v>
      </c>
      <c r="Q22" s="98">
        <f>(1+Control!L18)*P22</f>
        <v>19739.524585832136</v>
      </c>
      <c r="R22" s="98">
        <f>(1+Control!M18)*Q22</f>
        <v>19936.919831690459</v>
      </c>
      <c r="S22" s="98">
        <f>(1+Control!N18)*R22</f>
        <v>20136.289030007363</v>
      </c>
    </row>
    <row r="23" spans="2:19" hidden="1" outlineLevel="2" x14ac:dyDescent="0.2">
      <c r="B23" s="93"/>
      <c r="C23" s="93"/>
      <c r="D23" s="93"/>
      <c r="E23" s="99"/>
      <c r="F23" s="97" t="s">
        <v>161</v>
      </c>
      <c r="G23" s="97"/>
      <c r="H23" s="97"/>
      <c r="I23" s="98"/>
      <c r="J23" s="115">
        <f>J22/(I22)-1</f>
        <v>3.9122183350771556E-2</v>
      </c>
      <c r="K23" s="115">
        <f>K22/J22-1</f>
        <v>2.9151540716122915E-2</v>
      </c>
      <c r="L23" s="203">
        <f>(L22)/K22-1</f>
        <v>4.5019596417864127E-2</v>
      </c>
      <c r="M23" s="362">
        <f>L23</f>
        <v>4.5019596417864127E-2</v>
      </c>
      <c r="N23" s="204">
        <f>N22/K22-1</f>
        <v>4.5019596417864127E-2</v>
      </c>
      <c r="O23" s="115">
        <f>O22/N22-1</f>
        <v>1.0000000000000009E-2</v>
      </c>
      <c r="P23" s="115">
        <f>P22/O22-1</f>
        <v>1.0000000000000009E-2</v>
      </c>
      <c r="Q23" s="115">
        <f>Q22/P22-1</f>
        <v>1.0000000000000009E-2</v>
      </c>
      <c r="R23" s="115">
        <f>R22/Q22-1</f>
        <v>1.0000000000000009E-2</v>
      </c>
      <c r="S23" s="115">
        <f>S22/R22-1</f>
        <v>1.0000000000000009E-2</v>
      </c>
    </row>
    <row r="24" spans="2:19" hidden="1" outlineLevel="2" x14ac:dyDescent="0.2">
      <c r="B24" s="93"/>
      <c r="C24" s="93"/>
      <c r="D24" s="93"/>
      <c r="E24" s="99" t="s">
        <v>167</v>
      </c>
      <c r="F24" s="99"/>
      <c r="G24" s="99"/>
      <c r="H24" s="99"/>
      <c r="I24" s="98">
        <f>'Dart_중고차 Sales'!D37</f>
        <v>1905.6083751425956</v>
      </c>
      <c r="J24" s="98">
        <f>'Dart_중고차 Sales'!E37</f>
        <v>3350.6224855228697</v>
      </c>
      <c r="K24" s="98">
        <f>'Dart_중고차 Sales'!F37</f>
        <v>4500.9669446889375</v>
      </c>
      <c r="L24" s="207">
        <f>'Dart_중고차 Sales'!G37</f>
        <v>3573.9883383329193</v>
      </c>
      <c r="M24" s="364">
        <f>L24</f>
        <v>3573.9883383329193</v>
      </c>
      <c r="N24" s="208">
        <f>L24+M24</f>
        <v>7147.9766766658386</v>
      </c>
      <c r="O24" s="98">
        <f>O26*O28</f>
        <v>6895.3649354747686</v>
      </c>
      <c r="P24" s="98">
        <f>P26*P28</f>
        <v>7584.9014290222458</v>
      </c>
      <c r="Q24" s="98">
        <f>Q26*Q28</f>
        <v>8343.3915719244706</v>
      </c>
      <c r="R24" s="98">
        <f>R26*R28</f>
        <v>9177.7307291169182</v>
      </c>
      <c r="S24" s="98">
        <f>S26*S28</f>
        <v>10095.503802028612</v>
      </c>
    </row>
    <row r="25" spans="2:19" hidden="1" outlineLevel="2" x14ac:dyDescent="0.2">
      <c r="B25" s="93"/>
      <c r="C25" s="93"/>
      <c r="D25" s="93"/>
      <c r="E25" s="99"/>
      <c r="F25" s="97" t="s">
        <v>161</v>
      </c>
      <c r="G25" s="97"/>
      <c r="H25" s="97"/>
      <c r="I25" s="98"/>
      <c r="J25" s="115">
        <f>J24/(I24/9*12)-1</f>
        <v>0.31872156783216732</v>
      </c>
      <c r="K25" s="115">
        <f>K24/J24-1</f>
        <v>0.34332261068992231</v>
      </c>
      <c r="L25" s="203">
        <f>(L24*2)/K24-1</f>
        <v>0.58809801638297432</v>
      </c>
      <c r="M25" s="362">
        <f>L25</f>
        <v>0.58809801638297432</v>
      </c>
      <c r="N25" s="204">
        <f>N24/K24-1</f>
        <v>0.58809801638297432</v>
      </c>
      <c r="O25" s="115">
        <f>O24/N24-1</f>
        <v>-3.5340314136125595E-2</v>
      </c>
      <c r="P25" s="115">
        <f>P24/O24-1</f>
        <v>0.10000000000000009</v>
      </c>
      <c r="Q25" s="115">
        <f>Q24/P24-1</f>
        <v>0.10000000000000009</v>
      </c>
      <c r="R25" s="115">
        <f>R24/Q24-1</f>
        <v>0.10000000000000009</v>
      </c>
      <c r="S25" s="115">
        <f>S24/R24-1</f>
        <v>0.10000000000000031</v>
      </c>
    </row>
    <row r="26" spans="2:19" hidden="1" outlineLevel="2" x14ac:dyDescent="0.2">
      <c r="B26" s="93"/>
      <c r="C26" s="93"/>
      <c r="D26" s="93"/>
      <c r="E26" s="99"/>
      <c r="F26" s="97"/>
      <c r="G26" s="219" t="s">
        <v>168</v>
      </c>
      <c r="H26" s="219"/>
      <c r="I26" s="157">
        <f>I24/I28</f>
        <v>2550.8143604270963</v>
      </c>
      <c r="J26" s="157">
        <f>J24/J28</f>
        <v>3565.4402612640274</v>
      </c>
      <c r="K26" s="157">
        <f>K24/K28</f>
        <v>5756.8164541650413</v>
      </c>
      <c r="L26" s="209">
        <f>L24/L28</f>
        <v>5223.7613147536122</v>
      </c>
      <c r="M26" s="365">
        <f>M24/M28</f>
        <v>5223.7613147536122</v>
      </c>
      <c r="N26" s="210">
        <f>L26+M26</f>
        <v>10447.522629507224</v>
      </c>
      <c r="O26" s="157">
        <f>(1+Control!J19)*N26</f>
        <v>11492.274892457948</v>
      </c>
      <c r="P26" s="157">
        <f>(1+Control!K19)*O26</f>
        <v>12641.502381703744</v>
      </c>
      <c r="Q26" s="157">
        <f>(1+Control!L19)*P26</f>
        <v>13905.652619874119</v>
      </c>
      <c r="R26" s="157">
        <f>(1+Control!M19)*Q26</f>
        <v>15296.217881861532</v>
      </c>
      <c r="S26" s="157">
        <f>(1+Control!N19)*R26</f>
        <v>16825.839670047688</v>
      </c>
    </row>
    <row r="27" spans="2:19" hidden="1" outlineLevel="2" x14ac:dyDescent="0.2">
      <c r="B27" s="93"/>
      <c r="C27" s="93"/>
      <c r="D27" s="93"/>
      <c r="E27" s="99"/>
      <c r="F27" s="97"/>
      <c r="G27" s="97"/>
      <c r="H27" s="97" t="s">
        <v>161</v>
      </c>
      <c r="I27" s="98"/>
      <c r="J27" s="115">
        <f>J26/I26-1</f>
        <v>0.39776548092941066</v>
      </c>
      <c r="K27" s="115">
        <f>K26/J26-1</f>
        <v>0.61461587695319353</v>
      </c>
      <c r="L27" s="203">
        <f>(L26*2)/K26-1</f>
        <v>0.8148090550895486</v>
      </c>
      <c r="M27" s="362">
        <f>L27</f>
        <v>0.8148090550895486</v>
      </c>
      <c r="N27" s="204">
        <f>N26/K26-1</f>
        <v>0.8148090550895486</v>
      </c>
      <c r="O27" s="115">
        <f>O26/N26-1</f>
        <v>0.10000000000000009</v>
      </c>
      <c r="P27" s="115">
        <f>P26/O26-1</f>
        <v>0.10000000000000009</v>
      </c>
      <c r="Q27" s="115">
        <f>Q26/P26-1</f>
        <v>0.10000000000000009</v>
      </c>
      <c r="R27" s="115">
        <f>R26/Q26-1</f>
        <v>0.10000000000000009</v>
      </c>
      <c r="S27" s="115">
        <f>S26/R26-1</f>
        <v>0.10000000000000009</v>
      </c>
    </row>
    <row r="28" spans="2:19" hidden="1" outlineLevel="2" x14ac:dyDescent="0.2">
      <c r="B28" s="93"/>
      <c r="C28" s="93"/>
      <c r="D28" s="93"/>
      <c r="E28" s="99"/>
      <c r="F28" s="97"/>
      <c r="G28" s="219" t="s">
        <v>169</v>
      </c>
      <c r="H28" s="219"/>
      <c r="I28" s="158">
        <f>Dart_시장리서치!F$43</f>
        <v>0.74705882352941178</v>
      </c>
      <c r="J28" s="158">
        <f>Dart_시장리서치!G$43</f>
        <v>0.93974999999999997</v>
      </c>
      <c r="K28" s="158">
        <f>Dart_시장리서치!H$43</f>
        <v>0.78185000000000004</v>
      </c>
      <c r="L28" s="211">
        <f>Dart_시장리서치!I$43</f>
        <v>0.68417910447761199</v>
      </c>
      <c r="M28" s="366">
        <f>L28</f>
        <v>0.68417910447761199</v>
      </c>
      <c r="N28" s="212">
        <f>M28</f>
        <v>0.68417910447761199</v>
      </c>
      <c r="O28" s="158">
        <f>Control!J20</f>
        <v>0.6</v>
      </c>
      <c r="P28" s="158">
        <f>Control!K20</f>
        <v>0.6</v>
      </c>
      <c r="Q28" s="158">
        <f>Control!L20</f>
        <v>0.6</v>
      </c>
      <c r="R28" s="158">
        <f>Control!M20</f>
        <v>0.6</v>
      </c>
      <c r="S28" s="158">
        <f>Control!N20</f>
        <v>0.6</v>
      </c>
    </row>
    <row r="29" spans="2:19" hidden="1" outlineLevel="1" x14ac:dyDescent="0.2">
      <c r="B29" s="93"/>
      <c r="C29" s="93"/>
      <c r="D29" s="94" t="s">
        <v>171</v>
      </c>
      <c r="E29" s="93"/>
      <c r="F29" s="93"/>
      <c r="G29" s="93"/>
      <c r="H29" s="93"/>
      <c r="I29" s="95">
        <f t="shared" ref="I29:S29" si="6">I33*I31/1000</f>
        <v>31693</v>
      </c>
      <c r="J29" s="95">
        <f t="shared" si="6"/>
        <v>55817</v>
      </c>
      <c r="K29" s="95">
        <f t="shared" si="6"/>
        <v>82068.999999999985</v>
      </c>
      <c r="L29" s="205">
        <f t="shared" si="6"/>
        <v>63150.999999999993</v>
      </c>
      <c r="M29" s="363">
        <f t="shared" si="6"/>
        <v>63150.999999999993</v>
      </c>
      <c r="N29" s="206">
        <f t="shared" si="6"/>
        <v>126301.99999999999</v>
      </c>
      <c r="O29" s="95">
        <f t="shared" si="6"/>
        <v>123056.83212041884</v>
      </c>
      <c r="P29" s="95">
        <f t="shared" si="6"/>
        <v>136716.14048578538</v>
      </c>
      <c r="Q29" s="95">
        <f t="shared" si="6"/>
        <v>151891.63207970755</v>
      </c>
      <c r="R29" s="95">
        <f t="shared" si="6"/>
        <v>168751.60324055506</v>
      </c>
      <c r="S29" s="95">
        <f t="shared" si="6"/>
        <v>187483.03120025669</v>
      </c>
    </row>
    <row r="30" spans="2:19" hidden="1" outlineLevel="1" x14ac:dyDescent="0.2">
      <c r="B30" s="93"/>
      <c r="C30" s="93"/>
      <c r="D30" s="94"/>
      <c r="E30" s="97" t="s">
        <v>161</v>
      </c>
      <c r="F30" s="97"/>
      <c r="G30" s="97"/>
      <c r="H30" s="97"/>
      <c r="I30" s="95"/>
      <c r="J30" s="115">
        <f>J29/(I29/9*12)-1</f>
        <v>0.32088316031931363</v>
      </c>
      <c r="K30" s="115">
        <f>K29/J29-1</f>
        <v>0.47032266155472313</v>
      </c>
      <c r="L30" s="203">
        <f>(L29*2)/K29-1</f>
        <v>0.53897330295239376</v>
      </c>
      <c r="M30" s="362">
        <f>L30</f>
        <v>0.53897330295239376</v>
      </c>
      <c r="N30" s="204">
        <f>N29/K29-1</f>
        <v>0.53897330295239376</v>
      </c>
      <c r="O30" s="115">
        <f>O29/N29-1</f>
        <v>-2.5693717277486816E-2</v>
      </c>
      <c r="P30" s="115">
        <f>P29/O29-1</f>
        <v>0.11100000000000043</v>
      </c>
      <c r="Q30" s="115">
        <f>Q29/P29-1</f>
        <v>0.11099999999999999</v>
      </c>
      <c r="R30" s="115">
        <f>R29/Q29-1</f>
        <v>0.11099999999999999</v>
      </c>
      <c r="S30" s="115">
        <f>S29/R29-1</f>
        <v>0.11099999999999999</v>
      </c>
    </row>
    <row r="31" spans="2:19" hidden="1" outlineLevel="2" x14ac:dyDescent="0.2">
      <c r="B31" s="93"/>
      <c r="C31" s="93"/>
      <c r="D31" s="93"/>
      <c r="E31" s="99" t="s">
        <v>166</v>
      </c>
      <c r="F31" s="99"/>
      <c r="G31" s="99"/>
      <c r="H31" s="99"/>
      <c r="I31" s="98">
        <f>'Dart_중고차 Sales'!D49</f>
        <v>12395.722956382087</v>
      </c>
      <c r="J31" s="98">
        <f>'Dart_중고차 Sales'!E49</f>
        <v>12891.130776344737</v>
      </c>
      <c r="K31" s="98">
        <f>'Dart_중고차 Sales'!F49</f>
        <v>13679.935027279373</v>
      </c>
      <c r="L31" s="207">
        <f>'Dart_중고차 Sales'!G49</f>
        <v>14570.124846950581</v>
      </c>
      <c r="M31" s="364">
        <f>L31</f>
        <v>14570.124846950581</v>
      </c>
      <c r="N31" s="208">
        <f>M31</f>
        <v>14570.124846950581</v>
      </c>
      <c r="O31" s="98">
        <f>(1+Control!J21)*N31</f>
        <v>14715.826095420087</v>
      </c>
      <c r="P31" s="98">
        <f>(1+Control!K21)*O31</f>
        <v>14862.984356374287</v>
      </c>
      <c r="Q31" s="98">
        <f>(1+Control!L21)*P31</f>
        <v>15011.614199938031</v>
      </c>
      <c r="R31" s="98">
        <f>(1+Control!M21)*Q31</f>
        <v>15161.730341937411</v>
      </c>
      <c r="S31" s="98">
        <f>(1+Control!N21)*R31</f>
        <v>15313.347645356786</v>
      </c>
    </row>
    <row r="32" spans="2:19" hidden="1" outlineLevel="2" x14ac:dyDescent="0.2">
      <c r="B32" s="93"/>
      <c r="C32" s="93"/>
      <c r="D32" s="93"/>
      <c r="E32" s="99"/>
      <c r="F32" s="97" t="s">
        <v>161</v>
      </c>
      <c r="G32" s="97"/>
      <c r="H32" s="97"/>
      <c r="I32" s="98"/>
      <c r="J32" s="115">
        <f>J31/(I31)-1</f>
        <v>3.9966028742807858E-2</v>
      </c>
      <c r="K32" s="115">
        <f>K31/J31-1</f>
        <v>6.118968650772616E-2</v>
      </c>
      <c r="L32" s="203">
        <f>(L31)/K31-1</f>
        <v>6.5072664299652416E-2</v>
      </c>
      <c r="M32" s="362">
        <f>L32</f>
        <v>6.5072664299652416E-2</v>
      </c>
      <c r="N32" s="204">
        <f>N31/K31-1</f>
        <v>6.5072664299652416E-2</v>
      </c>
      <c r="O32" s="115">
        <f>O31/N31-1</f>
        <v>1.0000000000000009E-2</v>
      </c>
      <c r="P32" s="115">
        <f>P31/O31-1</f>
        <v>1.0000000000000009E-2</v>
      </c>
      <c r="Q32" s="115">
        <f>Q31/P31-1</f>
        <v>1.0000000000000009E-2</v>
      </c>
      <c r="R32" s="115">
        <f>R31/Q31-1</f>
        <v>1.0000000000000009E-2</v>
      </c>
      <c r="S32" s="115">
        <f>S31/R31-1</f>
        <v>1.0000000000000009E-2</v>
      </c>
    </row>
    <row r="33" spans="2:19" hidden="1" outlineLevel="2" x14ac:dyDescent="0.2">
      <c r="B33" s="93"/>
      <c r="C33" s="93"/>
      <c r="D33" s="93"/>
      <c r="E33" s="99" t="s">
        <v>167</v>
      </c>
      <c r="F33" s="99"/>
      <c r="G33" s="99"/>
      <c r="H33" s="99"/>
      <c r="I33" s="98">
        <f>'Dart_중고차 Sales'!D38</f>
        <v>2556.7689848765517</v>
      </c>
      <c r="J33" s="98">
        <f>'Dart_중고차 Sales'!E38</f>
        <v>4329.8761736576562</v>
      </c>
      <c r="K33" s="98">
        <f>'Dart_중고차 Sales'!F38</f>
        <v>5999.2243995563513</v>
      </c>
      <c r="L33" s="207">
        <f>'Dart_중고차 Sales'!G38</f>
        <v>4334.2799504711884</v>
      </c>
      <c r="M33" s="364">
        <f>L33</f>
        <v>4334.2799504711884</v>
      </c>
      <c r="N33" s="208">
        <f>L33+M33</f>
        <v>8668.5599009423768</v>
      </c>
      <c r="O33" s="98">
        <f>O35*O37</f>
        <v>8362.2102709352512</v>
      </c>
      <c r="P33" s="98">
        <f>P35*P37</f>
        <v>9198.4312980287777</v>
      </c>
      <c r="Q33" s="98">
        <f>Q35*Q37</f>
        <v>10118.274427831655</v>
      </c>
      <c r="R33" s="98">
        <f>R35*R37</f>
        <v>11130.101870614822</v>
      </c>
      <c r="S33" s="98">
        <f>S35*S37</f>
        <v>12243.112057676304</v>
      </c>
    </row>
    <row r="34" spans="2:19" hidden="1" outlineLevel="2" x14ac:dyDescent="0.2">
      <c r="B34" s="93"/>
      <c r="C34" s="93"/>
      <c r="D34" s="93"/>
      <c r="E34" s="99"/>
      <c r="F34" s="97" t="s">
        <v>161</v>
      </c>
      <c r="G34" s="97"/>
      <c r="H34" s="97"/>
      <c r="I34" s="98"/>
      <c r="J34" s="115">
        <f>J33/(I33/9*12)-1</f>
        <v>0.27012144994399501</v>
      </c>
      <c r="K34" s="115">
        <f>K33/J33-1</f>
        <v>0.38554179356323615</v>
      </c>
      <c r="L34" s="203">
        <f>(L33*2)/K33-1</f>
        <v>0.44494676704932479</v>
      </c>
      <c r="M34" s="362">
        <f>L34</f>
        <v>0.44494676704932479</v>
      </c>
      <c r="N34" s="204">
        <f>N33/K33-1</f>
        <v>0.44494676704932479</v>
      </c>
      <c r="O34" s="115">
        <f>O33/N33-1</f>
        <v>-3.5340314136125595E-2</v>
      </c>
      <c r="P34" s="115">
        <f>P33/O33-1</f>
        <v>0.10000000000000009</v>
      </c>
      <c r="Q34" s="115">
        <f>Q33/P33-1</f>
        <v>9.9999999999999867E-2</v>
      </c>
      <c r="R34" s="115">
        <f>R33/Q33-1</f>
        <v>0.10000000000000009</v>
      </c>
      <c r="S34" s="115">
        <f>S33/R33-1</f>
        <v>9.9999999999999867E-2</v>
      </c>
    </row>
    <row r="35" spans="2:19" hidden="1" outlineLevel="2" x14ac:dyDescent="0.2">
      <c r="B35" s="93"/>
      <c r="C35" s="93"/>
      <c r="D35" s="93"/>
      <c r="E35" s="99"/>
      <c r="F35" s="97"/>
      <c r="G35" s="219" t="s">
        <v>168</v>
      </c>
      <c r="H35" s="219"/>
      <c r="I35" s="157">
        <f>I33/I37</f>
        <v>3422.4466726694</v>
      </c>
      <c r="J35" s="157">
        <f>J33/J37</f>
        <v>4607.4766412957233</v>
      </c>
      <c r="K35" s="157">
        <f>K33/K37</f>
        <v>7673.1142796653457</v>
      </c>
      <c r="L35" s="209">
        <f>L33/L37</f>
        <v>6335.0077810115536</v>
      </c>
      <c r="M35" s="365">
        <f>M33/M37</f>
        <v>6335.0077810115536</v>
      </c>
      <c r="N35" s="210">
        <f>L35+M35</f>
        <v>12670.015562023107</v>
      </c>
      <c r="O35" s="157">
        <f>(1+Control!J22)*N35</f>
        <v>13937.01711822542</v>
      </c>
      <c r="P35" s="157">
        <f>(1+Control!K22)*O35</f>
        <v>15330.718830047963</v>
      </c>
      <c r="Q35" s="157">
        <f>(1+Control!L22)*P35</f>
        <v>16863.79071305276</v>
      </c>
      <c r="R35" s="157">
        <f>(1+Control!M22)*Q35</f>
        <v>18550.169784358037</v>
      </c>
      <c r="S35" s="157">
        <f>(1+Control!N22)*R35</f>
        <v>20405.186762793841</v>
      </c>
    </row>
    <row r="36" spans="2:19" hidden="1" outlineLevel="2" x14ac:dyDescent="0.2">
      <c r="B36" s="93"/>
      <c r="C36" s="93"/>
      <c r="D36" s="93"/>
      <c r="E36" s="99"/>
      <c r="F36" s="97"/>
      <c r="G36" s="97"/>
      <c r="H36" s="97" t="s">
        <v>161</v>
      </c>
      <c r="I36" s="98"/>
      <c r="J36" s="115">
        <f>J35/I35-1</f>
        <v>0.34625228147149989</v>
      </c>
      <c r="K36" s="115">
        <f>K35/J35-1</f>
        <v>0.66536151499782714</v>
      </c>
      <c r="L36" s="203">
        <f>(L35*2)/K35-1</f>
        <v>0.65122205928825228</v>
      </c>
      <c r="M36" s="362">
        <f>L36</f>
        <v>0.65122205928825228</v>
      </c>
      <c r="N36" s="204">
        <f>N35/K35-1</f>
        <v>0.65122205928825228</v>
      </c>
      <c r="O36" s="115">
        <f>O35/N35-1</f>
        <v>0.10000000000000009</v>
      </c>
      <c r="P36" s="115">
        <f>P35/O35-1</f>
        <v>0.10000000000000009</v>
      </c>
      <c r="Q36" s="115">
        <f>Q35/P35-1</f>
        <v>0.10000000000000009</v>
      </c>
      <c r="R36" s="115">
        <f>R35/Q35-1</f>
        <v>0.10000000000000009</v>
      </c>
      <c r="S36" s="115">
        <f>S35/R35-1</f>
        <v>0.10000000000000009</v>
      </c>
    </row>
    <row r="37" spans="2:19" hidden="1" outlineLevel="2" x14ac:dyDescent="0.2">
      <c r="B37" s="93"/>
      <c r="C37" s="93"/>
      <c r="D37" s="93"/>
      <c r="E37" s="99"/>
      <c r="F37" s="97"/>
      <c r="G37" s="219" t="s">
        <v>169</v>
      </c>
      <c r="H37" s="219"/>
      <c r="I37" s="158">
        <f>Dart_시장리서치!F$43</f>
        <v>0.74705882352941178</v>
      </c>
      <c r="J37" s="158">
        <f>Dart_시장리서치!G$43</f>
        <v>0.93974999999999997</v>
      </c>
      <c r="K37" s="158">
        <f>Dart_시장리서치!H$43</f>
        <v>0.78185000000000004</v>
      </c>
      <c r="L37" s="211">
        <f>Dart_시장리서치!I$43</f>
        <v>0.68417910447761199</v>
      </c>
      <c r="M37" s="366">
        <f>L37</f>
        <v>0.68417910447761199</v>
      </c>
      <c r="N37" s="212">
        <f>M37</f>
        <v>0.68417910447761199</v>
      </c>
      <c r="O37" s="158">
        <f>Control!J23</f>
        <v>0.6</v>
      </c>
      <c r="P37" s="158">
        <f>Control!K23</f>
        <v>0.6</v>
      </c>
      <c r="Q37" s="158">
        <f>Control!L23</f>
        <v>0.6</v>
      </c>
      <c r="R37" s="158">
        <f>Control!M23</f>
        <v>0.6</v>
      </c>
      <c r="S37" s="158">
        <f>Control!N23</f>
        <v>0.6</v>
      </c>
    </row>
    <row r="38" spans="2:19" hidden="1" outlineLevel="1" x14ac:dyDescent="0.2">
      <c r="B38" s="93"/>
      <c r="C38" s="93"/>
      <c r="D38" s="94" t="s">
        <v>172</v>
      </c>
      <c r="E38" s="93"/>
      <c r="F38" s="93"/>
      <c r="G38" s="93"/>
      <c r="H38" s="93"/>
      <c r="I38" s="95">
        <f t="shared" ref="I38:S38" si="7">I42*I40/1000</f>
        <v>21892</v>
      </c>
      <c r="J38" s="95">
        <f t="shared" si="7"/>
        <v>35300</v>
      </c>
      <c r="K38" s="95">
        <f t="shared" si="7"/>
        <v>51859</v>
      </c>
      <c r="L38" s="205">
        <f t="shared" si="7"/>
        <v>37193</v>
      </c>
      <c r="M38" s="363">
        <f t="shared" si="7"/>
        <v>37193</v>
      </c>
      <c r="N38" s="206">
        <f t="shared" si="7"/>
        <v>74386</v>
      </c>
      <c r="O38" s="95">
        <f t="shared" si="7"/>
        <v>79063.360523560201</v>
      </c>
      <c r="P38" s="95">
        <f t="shared" si="7"/>
        <v>95824.792954554956</v>
      </c>
      <c r="Q38" s="95">
        <f t="shared" si="7"/>
        <v>116139.64906092061</v>
      </c>
      <c r="R38" s="95">
        <f t="shared" si="7"/>
        <v>140761.25466183579</v>
      </c>
      <c r="S38" s="95">
        <f t="shared" si="7"/>
        <v>170602.64065014498</v>
      </c>
    </row>
    <row r="39" spans="2:19" hidden="1" outlineLevel="1" x14ac:dyDescent="0.2">
      <c r="B39" s="93"/>
      <c r="C39" s="93"/>
      <c r="D39" s="94"/>
      <c r="E39" s="97" t="s">
        <v>161</v>
      </c>
      <c r="F39" s="97"/>
      <c r="G39" s="97"/>
      <c r="H39" s="97"/>
      <c r="I39" s="95"/>
      <c r="J39" s="115">
        <f>J38/(I38/9*12)-1</f>
        <v>0.20934587977343333</v>
      </c>
      <c r="K39" s="115">
        <f>K38/J38-1</f>
        <v>0.46909348441926335</v>
      </c>
      <c r="L39" s="203">
        <f>(L38*2)/K38-1</f>
        <v>0.43438940203243415</v>
      </c>
      <c r="M39" s="362">
        <f>L39</f>
        <v>0.43438940203243415</v>
      </c>
      <c r="N39" s="204">
        <f>N38/K38-1</f>
        <v>0.43438940203243415</v>
      </c>
      <c r="O39" s="115">
        <f>O38/N38-1</f>
        <v>6.2879581151832342E-2</v>
      </c>
      <c r="P39" s="115">
        <f>P38/O38-1</f>
        <v>0.21199999999999997</v>
      </c>
      <c r="Q39" s="115">
        <f>Q38/P38-1</f>
        <v>0.21199999999999997</v>
      </c>
      <c r="R39" s="115">
        <f>R38/Q38-1</f>
        <v>0.21200000000000019</v>
      </c>
      <c r="S39" s="115">
        <f>S38/R38-1</f>
        <v>0.21199999999999997</v>
      </c>
    </row>
    <row r="40" spans="2:19" hidden="1" outlineLevel="2" x14ac:dyDescent="0.2">
      <c r="B40" s="93"/>
      <c r="C40" s="93"/>
      <c r="D40" s="93"/>
      <c r="E40" s="99" t="s">
        <v>166</v>
      </c>
      <c r="F40" s="99"/>
      <c r="G40" s="99"/>
      <c r="H40" s="99"/>
      <c r="I40" s="98">
        <f>'Dart_중고차 Sales'!D50</f>
        <v>8863.9806615469679</v>
      </c>
      <c r="J40" s="98">
        <f>'Dart_중고차 Sales'!E50</f>
        <v>9073.7093747412619</v>
      </c>
      <c r="K40" s="98">
        <f>'Dart_중고차 Sales'!F50</f>
        <v>9386.8273313817936</v>
      </c>
      <c r="L40" s="207">
        <f>'Dart_중고차 Sales'!G50</f>
        <v>10130.35125571368</v>
      </c>
      <c r="M40" s="364">
        <f>L40</f>
        <v>10130.35125571368</v>
      </c>
      <c r="N40" s="208">
        <f>M40</f>
        <v>10130.35125571368</v>
      </c>
      <c r="O40" s="98">
        <f>(1+Control!J24)*N40</f>
        <v>10231.654768270817</v>
      </c>
      <c r="P40" s="98">
        <f>(1+Control!K24)*O40</f>
        <v>10333.971315953526</v>
      </c>
      <c r="Q40" s="98">
        <f>(1+Control!L24)*P40</f>
        <v>10437.311029113062</v>
      </c>
      <c r="R40" s="98">
        <f>(1+Control!M24)*Q40</f>
        <v>10541.684139404193</v>
      </c>
      <c r="S40" s="98">
        <f>(1+Control!N24)*R40</f>
        <v>10647.100980798235</v>
      </c>
    </row>
    <row r="41" spans="2:19" hidden="1" outlineLevel="2" x14ac:dyDescent="0.2">
      <c r="B41" s="93"/>
      <c r="C41" s="93"/>
      <c r="D41" s="93"/>
      <c r="E41" s="99"/>
      <c r="F41" s="97" t="s">
        <v>161</v>
      </c>
      <c r="G41" s="97"/>
      <c r="H41" s="97"/>
      <c r="I41" s="98"/>
      <c r="J41" s="115">
        <f>J40/(I40)-1</f>
        <v>2.3660781899505157E-2</v>
      </c>
      <c r="K41" s="115">
        <f>K40/J40-1</f>
        <v>3.4508263788144644E-2</v>
      </c>
      <c r="L41" s="203">
        <f>(L40)/K40-1</f>
        <v>7.9209289580320474E-2</v>
      </c>
      <c r="M41" s="362">
        <f>L41</f>
        <v>7.9209289580320474E-2</v>
      </c>
      <c r="N41" s="204">
        <f>N40/K40-1</f>
        <v>7.9209289580320474E-2</v>
      </c>
      <c r="O41" s="115">
        <f>O40/N40-1</f>
        <v>1.0000000000000009E-2</v>
      </c>
      <c r="P41" s="115">
        <f>P40/O40-1</f>
        <v>1.0000000000000009E-2</v>
      </c>
      <c r="Q41" s="115">
        <f>Q40/P40-1</f>
        <v>1.0000000000000009E-2</v>
      </c>
      <c r="R41" s="115">
        <f>R40/Q40-1</f>
        <v>1.0000000000000009E-2</v>
      </c>
      <c r="S41" s="115">
        <f>S40/R40-1</f>
        <v>1.0000000000000009E-2</v>
      </c>
    </row>
    <row r="42" spans="2:19" hidden="1" outlineLevel="2" x14ac:dyDescent="0.2">
      <c r="B42" s="93"/>
      <c r="C42" s="93"/>
      <c r="D42" s="93"/>
      <c r="E42" s="99" t="s">
        <v>167</v>
      </c>
      <c r="F42" s="99"/>
      <c r="G42" s="99"/>
      <c r="H42" s="99"/>
      <c r="I42" s="98">
        <f>'Dart_중고차 Sales'!D39</f>
        <v>2469.7707312212642</v>
      </c>
      <c r="J42" s="98">
        <f>'Dart_중고차 Sales'!E39</f>
        <v>3890.3604404903685</v>
      </c>
      <c r="K42" s="98">
        <f>'Dart_중고차 Sales'!F39</f>
        <v>5524.6568589395865</v>
      </c>
      <c r="L42" s="207">
        <f>'Dart_중고차 Sales'!G39</f>
        <v>3671.4422887382657</v>
      </c>
      <c r="M42" s="364">
        <f>L42</f>
        <v>3671.4422887382657</v>
      </c>
      <c r="N42" s="208">
        <f>L42+M42</f>
        <v>7342.8845774765314</v>
      </c>
      <c r="O42" s="98">
        <f>O44*O46</f>
        <v>7727.3287961925798</v>
      </c>
      <c r="P42" s="98">
        <f>P44*P46</f>
        <v>9272.7945554310954</v>
      </c>
      <c r="Q42" s="98">
        <f>Q44*Q46</f>
        <v>11127.353466517314</v>
      </c>
      <c r="R42" s="98">
        <f>R44*R46</f>
        <v>13352.824159820777</v>
      </c>
      <c r="S42" s="98">
        <f>S44*S46</f>
        <v>16023.388991784932</v>
      </c>
    </row>
    <row r="43" spans="2:19" hidden="1" outlineLevel="2" x14ac:dyDescent="0.2">
      <c r="B43" s="93"/>
      <c r="C43" s="93"/>
      <c r="D43" s="93"/>
      <c r="E43" s="99"/>
      <c r="F43" s="97" t="s">
        <v>161</v>
      </c>
      <c r="G43" s="97"/>
      <c r="H43" s="97"/>
      <c r="I43" s="98"/>
      <c r="J43" s="115">
        <f>J42/(I42/9*12)-1</f>
        <v>0.18139319309407442</v>
      </c>
      <c r="K43" s="115">
        <f>K42/J42-1</f>
        <v>0.42008868932546006</v>
      </c>
      <c r="L43" s="203">
        <f>(L42*2)/K42-1</f>
        <v>0.32911142989719355</v>
      </c>
      <c r="M43" s="362">
        <f>L43</f>
        <v>0.32911142989719355</v>
      </c>
      <c r="N43" s="204">
        <f>N42/K42-1</f>
        <v>0.32911142989719355</v>
      </c>
      <c r="O43" s="115">
        <f>O42/N42-1</f>
        <v>5.2356020942408321E-2</v>
      </c>
      <c r="P43" s="115">
        <f>P42/O42-1</f>
        <v>0.19999999999999996</v>
      </c>
      <c r="Q43" s="115">
        <f>Q42/P42-1</f>
        <v>0.19999999999999996</v>
      </c>
      <c r="R43" s="115">
        <f>R42/Q42-1</f>
        <v>0.19999999999999996</v>
      </c>
      <c r="S43" s="115">
        <f>S42/R42-1</f>
        <v>0.19999999999999996</v>
      </c>
    </row>
    <row r="44" spans="2:19" hidden="1" outlineLevel="2" x14ac:dyDescent="0.2">
      <c r="B44" s="93"/>
      <c r="C44" s="93"/>
      <c r="D44" s="93"/>
      <c r="E44" s="99"/>
      <c r="F44" s="97"/>
      <c r="G44" s="219" t="s">
        <v>168</v>
      </c>
      <c r="H44" s="219"/>
      <c r="I44" s="157">
        <f>I42/I46</f>
        <v>3305.9923173827947</v>
      </c>
      <c r="J44" s="157">
        <f>J42/J46</f>
        <v>4139.7823256082665</v>
      </c>
      <c r="K44" s="157">
        <f>K42/K46</f>
        <v>7066.1339885394718</v>
      </c>
      <c r="L44" s="209">
        <f>L42/L46</f>
        <v>5366.200552911514</v>
      </c>
      <c r="M44" s="365">
        <f>M42/M46</f>
        <v>5366.200552911514</v>
      </c>
      <c r="N44" s="210">
        <f>L44+M44</f>
        <v>10732.401105823028</v>
      </c>
      <c r="O44" s="157">
        <f>(1+Control!J25)*N44</f>
        <v>12878.881326987634</v>
      </c>
      <c r="P44" s="157">
        <f>(1+Control!K25)*O44</f>
        <v>15454.65759238516</v>
      </c>
      <c r="Q44" s="157">
        <f>(1+Control!L25)*P44</f>
        <v>18545.589110862191</v>
      </c>
      <c r="R44" s="157">
        <f>(1+Control!M25)*Q44</f>
        <v>22254.706933034628</v>
      </c>
      <c r="S44" s="157">
        <f>(1+Control!N25)*R44</f>
        <v>26705.648319641554</v>
      </c>
    </row>
    <row r="45" spans="2:19" hidden="1" outlineLevel="2" x14ac:dyDescent="0.2">
      <c r="B45" s="93"/>
      <c r="C45" s="93"/>
      <c r="D45" s="93"/>
      <c r="E45" s="99"/>
      <c r="F45" s="97"/>
      <c r="G45" s="97"/>
      <c r="H45" s="97" t="s">
        <v>161</v>
      </c>
      <c r="I45" s="98"/>
      <c r="J45" s="115">
        <f>J44/I44-1</f>
        <v>0.25220567024352492</v>
      </c>
      <c r="K45" s="115">
        <f>K44/J44-1</f>
        <v>0.70688539463273115</v>
      </c>
      <c r="L45" s="203">
        <f>(L44*2)/K44-1</f>
        <v>0.51885049494247593</v>
      </c>
      <c r="M45" s="362">
        <f>L45</f>
        <v>0.51885049494247593</v>
      </c>
      <c r="N45" s="204">
        <f>N44/K44-1</f>
        <v>0.51885049494247593</v>
      </c>
      <c r="O45" s="115">
        <f>O44/N44-1</f>
        <v>0.19999999999999996</v>
      </c>
      <c r="P45" s="115">
        <f>P44/O44-1</f>
        <v>0.19999999999999996</v>
      </c>
      <c r="Q45" s="115">
        <f>Q44/P44-1</f>
        <v>0.19999999999999996</v>
      </c>
      <c r="R45" s="115">
        <f>R44/Q44-1</f>
        <v>0.19999999999999996</v>
      </c>
      <c r="S45" s="115">
        <f>S44/R44-1</f>
        <v>0.19999999999999996</v>
      </c>
    </row>
    <row r="46" spans="2:19" hidden="1" outlineLevel="2" x14ac:dyDescent="0.2">
      <c r="B46" s="93"/>
      <c r="C46" s="93"/>
      <c r="D46" s="93"/>
      <c r="E46" s="99"/>
      <c r="F46" s="97"/>
      <c r="G46" s="219" t="s">
        <v>169</v>
      </c>
      <c r="H46" s="219"/>
      <c r="I46" s="158">
        <f>Dart_시장리서치!F$43</f>
        <v>0.74705882352941178</v>
      </c>
      <c r="J46" s="158">
        <f>Dart_시장리서치!G$43</f>
        <v>0.93974999999999997</v>
      </c>
      <c r="K46" s="158">
        <f>Dart_시장리서치!H$43</f>
        <v>0.78185000000000004</v>
      </c>
      <c r="L46" s="211">
        <f>Dart_시장리서치!I$43</f>
        <v>0.68417910447761199</v>
      </c>
      <c r="M46" s="366">
        <f>L46</f>
        <v>0.68417910447761199</v>
      </c>
      <c r="N46" s="212">
        <f>M46</f>
        <v>0.68417910447761199</v>
      </c>
      <c r="O46" s="158">
        <f>Control!J26</f>
        <v>0.6</v>
      </c>
      <c r="P46" s="158">
        <f>Control!K26</f>
        <v>0.6</v>
      </c>
      <c r="Q46" s="158">
        <f>Control!L26</f>
        <v>0.6</v>
      </c>
      <c r="R46" s="158">
        <f>Control!M26</f>
        <v>0.6</v>
      </c>
      <c r="S46" s="158">
        <f>Control!N26</f>
        <v>0.6</v>
      </c>
    </row>
    <row r="47" spans="2:19" hidden="1" outlineLevel="1" x14ac:dyDescent="0.2">
      <c r="B47" s="93"/>
      <c r="C47" s="93"/>
      <c r="D47" s="94" t="s">
        <v>173</v>
      </c>
      <c r="E47" s="93"/>
      <c r="F47" s="93"/>
      <c r="G47" s="93"/>
      <c r="H47" s="93"/>
      <c r="I47" s="95">
        <f t="shared" ref="I47:S47" si="8">I51*I49/1000</f>
        <v>3952</v>
      </c>
      <c r="J47" s="95">
        <f t="shared" si="8"/>
        <v>6395</v>
      </c>
      <c r="K47" s="95">
        <f t="shared" si="8"/>
        <v>9960</v>
      </c>
      <c r="L47" s="205">
        <f t="shared" si="8"/>
        <v>6434</v>
      </c>
      <c r="M47" s="363">
        <f t="shared" si="8"/>
        <v>6434</v>
      </c>
      <c r="N47" s="206">
        <f t="shared" si="8"/>
        <v>12868</v>
      </c>
      <c r="O47" s="95">
        <f t="shared" si="8"/>
        <v>13677.134450261781</v>
      </c>
      <c r="P47" s="95">
        <f t="shared" si="8"/>
        <v>16576.686953717275</v>
      </c>
      <c r="Q47" s="95">
        <f t="shared" si="8"/>
        <v>20090.944587905335</v>
      </c>
      <c r="R47" s="95">
        <f t="shared" si="8"/>
        <v>24350.224840541268</v>
      </c>
      <c r="S47" s="95">
        <f t="shared" si="8"/>
        <v>29512.47250673602</v>
      </c>
    </row>
    <row r="48" spans="2:19" hidden="1" outlineLevel="1" x14ac:dyDescent="0.2">
      <c r="B48" s="93"/>
      <c r="C48" s="93"/>
      <c r="D48" s="94"/>
      <c r="E48" s="97" t="s">
        <v>161</v>
      </c>
      <c r="F48" s="97"/>
      <c r="G48" s="97"/>
      <c r="H48" s="97"/>
      <c r="I48" s="95"/>
      <c r="J48" s="115">
        <f>J47/(I47/9*12)-1</f>
        <v>0.21362601214574917</v>
      </c>
      <c r="K48" s="115">
        <f>K47/J47-1</f>
        <v>0.55746677091477714</v>
      </c>
      <c r="L48" s="203">
        <f>(L47*2)/K47-1</f>
        <v>0.29196787148594372</v>
      </c>
      <c r="M48" s="362">
        <f>L48</f>
        <v>0.29196787148594372</v>
      </c>
      <c r="N48" s="204">
        <f>N47/K47-1</f>
        <v>0.29196787148594372</v>
      </c>
      <c r="O48" s="115">
        <f>O47/N47-1</f>
        <v>6.2879581151832564E-2</v>
      </c>
      <c r="P48" s="115">
        <f>P47/O47-1</f>
        <v>0.21199999999999974</v>
      </c>
      <c r="Q48" s="115">
        <f>Q47/P47-1</f>
        <v>0.21199999999999974</v>
      </c>
      <c r="R48" s="115">
        <f>R47/Q47-1</f>
        <v>0.21200000000000019</v>
      </c>
      <c r="S48" s="115">
        <f>S47/R47-1</f>
        <v>0.21200000000000019</v>
      </c>
    </row>
    <row r="49" spans="2:19" hidden="1" outlineLevel="2" x14ac:dyDescent="0.2">
      <c r="B49" s="93"/>
      <c r="C49" s="93"/>
      <c r="D49" s="93"/>
      <c r="E49" s="99" t="s">
        <v>166</v>
      </c>
      <c r="F49" s="99"/>
      <c r="G49" s="99"/>
      <c r="H49" s="99"/>
      <c r="I49" s="98">
        <f>'Dart_중고차 Sales'!D51</f>
        <v>9565.0168033366954</v>
      </c>
      <c r="J49" s="98">
        <f>'Dart_중고차 Sales'!E51</f>
        <v>9945.7798538259831</v>
      </c>
      <c r="K49" s="98">
        <f>'Dart_중고차 Sales'!F51</f>
        <v>10748.662280728297</v>
      </c>
      <c r="L49" s="207">
        <f>'Dart_중고차 Sales'!G51</f>
        <v>10132.287484929222</v>
      </c>
      <c r="M49" s="364">
        <f>L49</f>
        <v>10132.287484929222</v>
      </c>
      <c r="N49" s="208">
        <f>M49</f>
        <v>10132.287484929222</v>
      </c>
      <c r="O49" s="98">
        <f>(1+Control!J27)*N49</f>
        <v>10233.610359778515</v>
      </c>
      <c r="P49" s="98">
        <f>(1+Control!K27)*O49</f>
        <v>10335.9464633763</v>
      </c>
      <c r="Q49" s="98">
        <f>(1+Control!L27)*P49</f>
        <v>10439.305928010062</v>
      </c>
      <c r="R49" s="98">
        <f>(1+Control!M27)*Q49</f>
        <v>10543.698987290163</v>
      </c>
      <c r="S49" s="98">
        <f>(1+Control!N27)*R49</f>
        <v>10649.135977163065</v>
      </c>
    </row>
    <row r="50" spans="2:19" hidden="1" outlineLevel="2" x14ac:dyDescent="0.2">
      <c r="B50" s="93"/>
      <c r="C50" s="93"/>
      <c r="D50" s="93"/>
      <c r="E50" s="99"/>
      <c r="F50" s="97" t="s">
        <v>161</v>
      </c>
      <c r="G50" s="97"/>
      <c r="H50" s="97"/>
      <c r="I50" s="98"/>
      <c r="J50" s="115">
        <f>J49/(I49)-1</f>
        <v>3.9807880981083121E-2</v>
      </c>
      <c r="K50" s="115">
        <f>K49/J49-1</f>
        <v>8.0725939916461931E-2</v>
      </c>
      <c r="L50" s="203">
        <f>(L49)/K49-1</f>
        <v>-5.7344326177611649E-2</v>
      </c>
      <c r="M50" s="362">
        <f>L50</f>
        <v>-5.7344326177611649E-2</v>
      </c>
      <c r="N50" s="204">
        <f>N49/K49-1</f>
        <v>-5.7344326177611649E-2</v>
      </c>
      <c r="O50" s="115">
        <f>O49/N49-1</f>
        <v>1.0000000000000009E-2</v>
      </c>
      <c r="P50" s="115">
        <f>P49/O49-1</f>
        <v>1.0000000000000009E-2</v>
      </c>
      <c r="Q50" s="115">
        <f>Q49/P49-1</f>
        <v>1.0000000000000009E-2</v>
      </c>
      <c r="R50" s="115">
        <f>R49/Q49-1</f>
        <v>1.0000000000000009E-2</v>
      </c>
      <c r="S50" s="115">
        <f>S49/R49-1</f>
        <v>1.0000000000000009E-2</v>
      </c>
    </row>
    <row r="51" spans="2:19" hidden="1" outlineLevel="2" x14ac:dyDescent="0.2">
      <c r="B51" s="93"/>
      <c r="C51" s="93"/>
      <c r="D51" s="93"/>
      <c r="E51" s="99" t="s">
        <v>167</v>
      </c>
      <c r="F51" s="99"/>
      <c r="G51" s="99"/>
      <c r="H51" s="99"/>
      <c r="I51" s="98">
        <f>'Dart_중고차 Sales'!D40</f>
        <v>413.17230081826619</v>
      </c>
      <c r="J51" s="98">
        <f>'Dart_중고차 Sales'!E40</f>
        <v>642.9862810144491</v>
      </c>
      <c r="K51" s="98">
        <f>'Dart_중고차 Sales'!F40</f>
        <v>926.62693643819091</v>
      </c>
      <c r="L51" s="207">
        <f>'Dart_중고차 Sales'!G40</f>
        <v>634.99974804010844</v>
      </c>
      <c r="M51" s="364">
        <f>L51</f>
        <v>634.99974804010844</v>
      </c>
      <c r="N51" s="208">
        <f>L51+M51</f>
        <v>1269.9994960802169</v>
      </c>
      <c r="O51" s="98">
        <f>O53*O55</f>
        <v>1336.4916162938407</v>
      </c>
      <c r="P51" s="98">
        <f>P53*P55</f>
        <v>1603.7899395526088</v>
      </c>
      <c r="Q51" s="98">
        <f>Q53*Q55</f>
        <v>1924.5479274631305</v>
      </c>
      <c r="R51" s="98">
        <f>R53*R55</f>
        <v>2309.4575129557566</v>
      </c>
      <c r="S51" s="98">
        <f>S53*S55</f>
        <v>2771.3490155469076</v>
      </c>
    </row>
    <row r="52" spans="2:19" hidden="1" outlineLevel="2" x14ac:dyDescent="0.2">
      <c r="B52" s="93"/>
      <c r="C52" s="93"/>
      <c r="D52" s="93"/>
      <c r="E52" s="99"/>
      <c r="F52" s="97" t="s">
        <v>161</v>
      </c>
      <c r="G52" s="97"/>
      <c r="H52" s="97"/>
      <c r="I52" s="98"/>
      <c r="J52" s="115">
        <f>J51/(I51/9*12)-1</f>
        <v>0.16716369854849011</v>
      </c>
      <c r="K52" s="115">
        <f>K51/J51-1</f>
        <v>0.44113018239866286</v>
      </c>
      <c r="L52" s="203">
        <f>(L51*2)/K51-1</f>
        <v>0.37056181526720611</v>
      </c>
      <c r="M52" s="362">
        <f>L52</f>
        <v>0.37056181526720611</v>
      </c>
      <c r="N52" s="204">
        <f>N51/K51-1</f>
        <v>0.37056181526720611</v>
      </c>
      <c r="O52" s="115">
        <f>O51/N51-1</f>
        <v>5.2356020942408321E-2</v>
      </c>
      <c r="P52" s="115">
        <f>P51/O51-1</f>
        <v>0.19999999999999996</v>
      </c>
      <c r="Q52" s="115">
        <f>Q51/P51-1</f>
        <v>0.19999999999999996</v>
      </c>
      <c r="R52" s="115">
        <f>R51/Q51-1</f>
        <v>0.19999999999999996</v>
      </c>
      <c r="S52" s="115">
        <f>S51/R51-1</f>
        <v>0.19999999999999996</v>
      </c>
    </row>
    <row r="53" spans="2:19" hidden="1" outlineLevel="2" x14ac:dyDescent="0.2">
      <c r="B53" s="93"/>
      <c r="C53" s="93"/>
      <c r="D53" s="93"/>
      <c r="E53" s="99"/>
      <c r="F53" s="97"/>
      <c r="G53" s="219" t="s">
        <v>168</v>
      </c>
      <c r="H53" s="219"/>
      <c r="I53" s="157">
        <f>I51/I55</f>
        <v>553.06528455988382</v>
      </c>
      <c r="J53" s="157">
        <f>J51/J55</f>
        <v>684.20992925187454</v>
      </c>
      <c r="K53" s="157">
        <f>K51/K55</f>
        <v>1185.172266340335</v>
      </c>
      <c r="L53" s="209">
        <f>L51/L55</f>
        <v>928.11917798183379</v>
      </c>
      <c r="M53" s="365">
        <f>M51/M55</f>
        <v>928.11917798183379</v>
      </c>
      <c r="N53" s="210">
        <f>L53+M53</f>
        <v>1856.2383559636676</v>
      </c>
      <c r="O53" s="157">
        <f>(1+Control!J28)*N53</f>
        <v>2227.4860271564012</v>
      </c>
      <c r="P53" s="157">
        <f>(1+Control!K28)*O53</f>
        <v>2672.9832325876814</v>
      </c>
      <c r="Q53" s="157">
        <f>(1+Control!L28)*P53</f>
        <v>3207.5798791052175</v>
      </c>
      <c r="R53" s="157">
        <f>(1+Control!M28)*Q53</f>
        <v>3849.0958549262609</v>
      </c>
      <c r="S53" s="157">
        <f>(1+Control!N28)*R53</f>
        <v>4618.9150259115131</v>
      </c>
    </row>
    <row r="54" spans="2:19" hidden="1" outlineLevel="2" x14ac:dyDescent="0.2">
      <c r="B54" s="93"/>
      <c r="C54" s="93"/>
      <c r="D54" s="93"/>
      <c r="E54" s="99"/>
      <c r="F54" s="97"/>
      <c r="G54" s="97"/>
      <c r="H54" s="97" t="s">
        <v>161</v>
      </c>
      <c r="I54" s="98"/>
      <c r="J54" s="115">
        <f>J53/I53-1</f>
        <v>0.2371232625753259</v>
      </c>
      <c r="K54" s="115">
        <f>K53/J53-1</f>
        <v>0.73217636235741312</v>
      </c>
      <c r="L54" s="203">
        <f>(L53*2)/K53-1</f>
        <v>0.56621818505380772</v>
      </c>
      <c r="M54" s="362">
        <f>L54</f>
        <v>0.56621818505380772</v>
      </c>
      <c r="N54" s="204">
        <f>N53/K53-1</f>
        <v>0.56621818505380772</v>
      </c>
      <c r="O54" s="115">
        <f>O53/N53-1</f>
        <v>0.19999999999999996</v>
      </c>
      <c r="P54" s="115">
        <f>P53/O53-1</f>
        <v>0.19999999999999996</v>
      </c>
      <c r="Q54" s="115">
        <f>Q53/P53-1</f>
        <v>0.19999999999999996</v>
      </c>
      <c r="R54" s="115">
        <f>R53/Q53-1</f>
        <v>0.19999999999999996</v>
      </c>
      <c r="S54" s="115">
        <f>S53/R53-1</f>
        <v>0.19999999999999996</v>
      </c>
    </row>
    <row r="55" spans="2:19" hidden="1" outlineLevel="2" x14ac:dyDescent="0.2">
      <c r="B55" s="93"/>
      <c r="C55" s="93"/>
      <c r="D55" s="93"/>
      <c r="E55" s="99"/>
      <c r="F55" s="97"/>
      <c r="G55" s="219" t="s">
        <v>169</v>
      </c>
      <c r="H55" s="219"/>
      <c r="I55" s="158">
        <f>Dart_시장리서치!F$43</f>
        <v>0.74705882352941178</v>
      </c>
      <c r="J55" s="158">
        <f>Dart_시장리서치!G$43</f>
        <v>0.93974999999999997</v>
      </c>
      <c r="K55" s="158">
        <f>Dart_시장리서치!H$43</f>
        <v>0.78185000000000004</v>
      </c>
      <c r="L55" s="211">
        <f>Dart_시장리서치!I$43</f>
        <v>0.68417910447761199</v>
      </c>
      <c r="M55" s="366">
        <f>L55</f>
        <v>0.68417910447761199</v>
      </c>
      <c r="N55" s="212">
        <f>M55</f>
        <v>0.68417910447761199</v>
      </c>
      <c r="O55" s="158">
        <f>Control!J29</f>
        <v>0.6</v>
      </c>
      <c r="P55" s="158">
        <f>Control!K29</f>
        <v>0.6</v>
      </c>
      <c r="Q55" s="158">
        <f>Control!L29</f>
        <v>0.6</v>
      </c>
      <c r="R55" s="158">
        <f>Control!M29</f>
        <v>0.6</v>
      </c>
      <c r="S55" s="158">
        <f>Control!N29</f>
        <v>0.6</v>
      </c>
    </row>
    <row r="56" spans="2:19" hidden="1" outlineLevel="1" x14ac:dyDescent="0.2">
      <c r="B56" s="93"/>
      <c r="C56" s="93"/>
      <c r="D56" s="94" t="s">
        <v>174</v>
      </c>
      <c r="E56" s="93"/>
      <c r="F56" s="93"/>
      <c r="G56" s="93"/>
      <c r="H56" s="93"/>
      <c r="I56" s="95">
        <f t="shared" ref="I56:S56" si="9">I60*I58/1000</f>
        <v>1641.9999999999998</v>
      </c>
      <c r="J56" s="95">
        <f t="shared" si="9"/>
        <v>3174</v>
      </c>
      <c r="K56" s="95">
        <f t="shared" si="9"/>
        <v>3633.0000000000005</v>
      </c>
      <c r="L56" s="205">
        <f t="shared" si="9"/>
        <v>2012</v>
      </c>
      <c r="M56" s="363">
        <f t="shared" si="9"/>
        <v>2012</v>
      </c>
      <c r="N56" s="206">
        <f t="shared" si="9"/>
        <v>4024</v>
      </c>
      <c r="O56" s="95">
        <f t="shared" si="9"/>
        <v>4277.0274345549724</v>
      </c>
      <c r="P56" s="95">
        <f t="shared" si="9"/>
        <v>5183.7572506806264</v>
      </c>
      <c r="Q56" s="95">
        <f t="shared" si="9"/>
        <v>6282.7137878249205</v>
      </c>
      <c r="R56" s="95">
        <f t="shared" si="9"/>
        <v>7614.6491108438031</v>
      </c>
      <c r="S56" s="95">
        <f t="shared" si="9"/>
        <v>9228.9547223426889</v>
      </c>
    </row>
    <row r="57" spans="2:19" hidden="1" outlineLevel="1" x14ac:dyDescent="0.2">
      <c r="B57" s="93"/>
      <c r="C57" s="93"/>
      <c r="D57" s="94"/>
      <c r="E57" s="97" t="s">
        <v>161</v>
      </c>
      <c r="F57" s="97"/>
      <c r="G57" s="97"/>
      <c r="H57" s="97"/>
      <c r="I57" s="95"/>
      <c r="J57" s="115">
        <f>J56/(I56/9*12)-1</f>
        <v>0.4497563946406824</v>
      </c>
      <c r="K57" s="115">
        <f>K56/J56-1</f>
        <v>0.14461247637051056</v>
      </c>
      <c r="L57" s="203">
        <f>(L56*2)/K56-1</f>
        <v>0.10762455271125781</v>
      </c>
      <c r="M57" s="362">
        <f>L57</f>
        <v>0.10762455271125781</v>
      </c>
      <c r="N57" s="204">
        <f>N56/K56-1</f>
        <v>0.10762455271125781</v>
      </c>
      <c r="O57" s="115">
        <f>O56/N56-1</f>
        <v>6.287958115183212E-2</v>
      </c>
      <c r="P57" s="115">
        <f>P56/O56-1</f>
        <v>0.21199999999999997</v>
      </c>
      <c r="Q57" s="115">
        <f>Q56/P56-1</f>
        <v>0.21200000000000019</v>
      </c>
      <c r="R57" s="115">
        <f>R56/Q56-1</f>
        <v>0.21199999999999997</v>
      </c>
      <c r="S57" s="115">
        <f>S56/R56-1</f>
        <v>0.21199999999999997</v>
      </c>
    </row>
    <row r="58" spans="2:19" hidden="1" outlineLevel="2" x14ac:dyDescent="0.2">
      <c r="B58" s="93"/>
      <c r="C58" s="93"/>
      <c r="D58" s="93"/>
      <c r="E58" s="99" t="s">
        <v>166</v>
      </c>
      <c r="F58" s="99"/>
      <c r="G58" s="99"/>
      <c r="H58" s="99"/>
      <c r="I58" s="98">
        <f>'Dart_중고차 Sales'!D52</f>
        <v>9323.1166461562079</v>
      </c>
      <c r="J58" s="98">
        <f>'Dart_중고차 Sales'!E52</f>
        <v>9880.1508325949781</v>
      </c>
      <c r="K58" s="98">
        <f>'Dart_중고차 Sales'!F52</f>
        <v>10431.794776102815</v>
      </c>
      <c r="L58" s="207">
        <f>'Dart_중고차 Sales'!G52</f>
        <v>12445.11328289367</v>
      </c>
      <c r="M58" s="364">
        <f>L58</f>
        <v>12445.11328289367</v>
      </c>
      <c r="N58" s="208">
        <f>M58</f>
        <v>12445.11328289367</v>
      </c>
      <c r="O58" s="98">
        <f>(1+Control!J30)*N58</f>
        <v>12569.564415722607</v>
      </c>
      <c r="P58" s="98">
        <f>(1+Control!K30)*O58</f>
        <v>12695.260059879833</v>
      </c>
      <c r="Q58" s="98">
        <f>(1+Control!L30)*P58</f>
        <v>12822.212660478632</v>
      </c>
      <c r="R58" s="98">
        <f>(1+Control!M30)*Q58</f>
        <v>12950.434787083419</v>
      </c>
      <c r="S58" s="98">
        <f>(1+Control!N30)*R58</f>
        <v>13079.939134954253</v>
      </c>
    </row>
    <row r="59" spans="2:19" hidden="1" outlineLevel="2" x14ac:dyDescent="0.2">
      <c r="B59" s="93"/>
      <c r="C59" s="93"/>
      <c r="D59" s="93"/>
      <c r="E59" s="99"/>
      <c r="F59" s="97" t="s">
        <v>161</v>
      </c>
      <c r="G59" s="97"/>
      <c r="H59" s="97"/>
      <c r="I59" s="98"/>
      <c r="J59" s="115">
        <f>J58/(I58)-1</f>
        <v>5.9747636716357855E-2</v>
      </c>
      <c r="K59" s="115">
        <f>K58/J58-1</f>
        <v>5.5833554857072087E-2</v>
      </c>
      <c r="L59" s="203">
        <f>(L58)/K58-1</f>
        <v>0.19299828553021103</v>
      </c>
      <c r="M59" s="362">
        <f>L59</f>
        <v>0.19299828553021103</v>
      </c>
      <c r="N59" s="204">
        <f>N58/K58-1</f>
        <v>0.19299828553021103</v>
      </c>
      <c r="O59" s="115">
        <f>O58/N58-1</f>
        <v>1.0000000000000009E-2</v>
      </c>
      <c r="P59" s="115">
        <f>P58/O58-1</f>
        <v>1.0000000000000009E-2</v>
      </c>
      <c r="Q59" s="115">
        <f>Q58/P58-1</f>
        <v>1.0000000000000009E-2</v>
      </c>
      <c r="R59" s="115">
        <f>R58/Q58-1</f>
        <v>1.0000000000000009E-2</v>
      </c>
      <c r="S59" s="115">
        <f>S58/R58-1</f>
        <v>1.0000000000000009E-2</v>
      </c>
    </row>
    <row r="60" spans="2:19" hidden="1" outlineLevel="2" x14ac:dyDescent="0.2">
      <c r="B60" s="93"/>
      <c r="C60" s="93"/>
      <c r="D60" s="93"/>
      <c r="E60" s="99" t="s">
        <v>167</v>
      </c>
      <c r="F60" s="99"/>
      <c r="G60" s="99"/>
      <c r="H60" s="99"/>
      <c r="I60" s="98">
        <f>'Dart_중고차 Sales'!D41</f>
        <v>176.1213618062983</v>
      </c>
      <c r="J60" s="98">
        <f>'Dart_중고차 Sales'!E41</f>
        <v>321.25015637705229</v>
      </c>
      <c r="K60" s="98">
        <f>'Dart_중고차 Sales'!F41</f>
        <v>348.26221929926066</v>
      </c>
      <c r="L60" s="207">
        <f>'Dart_중고차 Sales'!G41</f>
        <v>161.66988232767463</v>
      </c>
      <c r="M60" s="364">
        <f>L60</f>
        <v>161.66988232767463</v>
      </c>
      <c r="N60" s="208">
        <f>L60+M60</f>
        <v>323.33976465534926</v>
      </c>
      <c r="O60" s="98">
        <f>O62*O64</f>
        <v>340.26854814515804</v>
      </c>
      <c r="P60" s="98">
        <f>P62*P64</f>
        <v>408.32225777418961</v>
      </c>
      <c r="Q60" s="98">
        <f>Q62*Q64</f>
        <v>489.98670932902752</v>
      </c>
      <c r="R60" s="98">
        <f>R62*R64</f>
        <v>587.984051194833</v>
      </c>
      <c r="S60" s="98">
        <f>S62*S64</f>
        <v>705.58086143379956</v>
      </c>
    </row>
    <row r="61" spans="2:19" hidden="1" outlineLevel="2" x14ac:dyDescent="0.2">
      <c r="B61" s="93"/>
      <c r="C61" s="93"/>
      <c r="D61" s="93"/>
      <c r="E61" s="99"/>
      <c r="F61" s="97" t="s">
        <v>161</v>
      </c>
      <c r="G61" s="97"/>
      <c r="H61" s="97"/>
      <c r="I61" s="98"/>
      <c r="J61" s="115">
        <f>J60/(I60/9*12)-1</f>
        <v>0.36802040826698312</v>
      </c>
      <c r="K61" s="115">
        <f>K60/J60-1</f>
        <v>8.4084201629163413E-2</v>
      </c>
      <c r="L61" s="203">
        <f>(L60*2)/K60-1</f>
        <v>-7.1562326496563244E-2</v>
      </c>
      <c r="M61" s="362">
        <f>L61</f>
        <v>-7.1562326496563244E-2</v>
      </c>
      <c r="N61" s="204">
        <f>N60/K60-1</f>
        <v>-7.1562326496563244E-2</v>
      </c>
      <c r="O61" s="115">
        <f>O60/N60-1</f>
        <v>5.2356020942408099E-2</v>
      </c>
      <c r="P61" s="115">
        <f>P60/O60-1</f>
        <v>0.19999999999999996</v>
      </c>
      <c r="Q61" s="115">
        <f>Q60/P60-1</f>
        <v>0.19999999999999996</v>
      </c>
      <c r="R61" s="115">
        <f>R60/Q60-1</f>
        <v>0.19999999999999996</v>
      </c>
      <c r="S61" s="115">
        <f>S60/R60-1</f>
        <v>0.19999999999999996</v>
      </c>
    </row>
    <row r="62" spans="2:19" hidden="1" outlineLevel="2" x14ac:dyDescent="0.2">
      <c r="B62" s="93"/>
      <c r="C62" s="93"/>
      <c r="D62" s="93"/>
      <c r="E62" s="99"/>
      <c r="F62" s="97"/>
      <c r="G62" s="219" t="s">
        <v>168</v>
      </c>
      <c r="H62" s="219"/>
      <c r="I62" s="157">
        <f>I60/I64</f>
        <v>235.75300399268275</v>
      </c>
      <c r="J62" s="157">
        <f>J60/J64</f>
        <v>341.84640210380667</v>
      </c>
      <c r="K62" s="157">
        <f>K60/K64</f>
        <v>445.43354773839053</v>
      </c>
      <c r="L62" s="209">
        <f>L60/L64</f>
        <v>236.29760287858201</v>
      </c>
      <c r="M62" s="365">
        <f>M60/M64</f>
        <v>236.29760287858201</v>
      </c>
      <c r="N62" s="210">
        <f>L62+M62</f>
        <v>472.59520575716402</v>
      </c>
      <c r="O62" s="157">
        <f>(1+Control!J31)*N62</f>
        <v>567.11424690859678</v>
      </c>
      <c r="P62" s="157">
        <f>(1+Control!K31)*O62</f>
        <v>680.53709629031607</v>
      </c>
      <c r="Q62" s="157">
        <f>(1+Control!L31)*P62</f>
        <v>816.64451554837922</v>
      </c>
      <c r="R62" s="157">
        <f>(1+Control!M31)*Q62</f>
        <v>979.97341865805504</v>
      </c>
      <c r="S62" s="157">
        <f>(1+Control!N31)*R62</f>
        <v>1175.968102389666</v>
      </c>
    </row>
    <row r="63" spans="2:19" hidden="1" outlineLevel="2" x14ac:dyDescent="0.2">
      <c r="B63" s="93"/>
      <c r="C63" s="93"/>
      <c r="D63" s="93"/>
      <c r="E63" s="99"/>
      <c r="F63" s="97"/>
      <c r="G63" s="97"/>
      <c r="H63" s="97" t="s">
        <v>161</v>
      </c>
      <c r="I63" s="98"/>
      <c r="J63" s="115">
        <f>J62/I62-1</f>
        <v>0.4500192842268802</v>
      </c>
      <c r="K63" s="115">
        <f>K62/J62-1</f>
        <v>0.30302248318859926</v>
      </c>
      <c r="L63" s="203">
        <f>(L62*2)/K62-1</f>
        <v>6.0978025020077542E-2</v>
      </c>
      <c r="M63" s="362">
        <f>L63</f>
        <v>6.0978025020077542E-2</v>
      </c>
      <c r="N63" s="204">
        <f>N62/K62-1</f>
        <v>6.0978025020077542E-2</v>
      </c>
      <c r="O63" s="115">
        <f>O62/N62-1</f>
        <v>0.19999999999999996</v>
      </c>
      <c r="P63" s="115">
        <f>P62/O62-1</f>
        <v>0.19999999999999996</v>
      </c>
      <c r="Q63" s="115">
        <f>Q62/P62-1</f>
        <v>0.19999999999999996</v>
      </c>
      <c r="R63" s="115">
        <f>R62/Q62-1</f>
        <v>0.19999999999999996</v>
      </c>
      <c r="S63" s="115">
        <f>S62/R62-1</f>
        <v>0.19999999999999996</v>
      </c>
    </row>
    <row r="64" spans="2:19" hidden="1" outlineLevel="2" x14ac:dyDescent="0.2">
      <c r="B64" s="93"/>
      <c r="C64" s="93"/>
      <c r="D64" s="93"/>
      <c r="E64" s="99"/>
      <c r="F64" s="97"/>
      <c r="G64" s="219" t="s">
        <v>169</v>
      </c>
      <c r="H64" s="219"/>
      <c r="I64" s="158">
        <f>Dart_시장리서치!F$43</f>
        <v>0.74705882352941178</v>
      </c>
      <c r="J64" s="158">
        <f>Dart_시장리서치!G$43</f>
        <v>0.93974999999999997</v>
      </c>
      <c r="K64" s="158">
        <f>Dart_시장리서치!H$43</f>
        <v>0.78185000000000004</v>
      </c>
      <c r="L64" s="211">
        <f>Dart_시장리서치!I$43</f>
        <v>0.68417910447761199</v>
      </c>
      <c r="M64" s="366">
        <f>L64</f>
        <v>0.68417910447761199</v>
      </c>
      <c r="N64" s="212">
        <f>M64</f>
        <v>0.68417910447761199</v>
      </c>
      <c r="O64" s="158">
        <f>Control!J32</f>
        <v>0.6</v>
      </c>
      <c r="P64" s="158">
        <f>Control!K32</f>
        <v>0.6</v>
      </c>
      <c r="Q64" s="158">
        <f>Control!L32</f>
        <v>0.6</v>
      </c>
      <c r="R64" s="158">
        <f>Control!M32</f>
        <v>0.6</v>
      </c>
      <c r="S64" s="158">
        <f>Control!N32</f>
        <v>0.6</v>
      </c>
    </row>
    <row r="65" spans="2:19" hidden="1" outlineLevel="1" x14ac:dyDescent="0.2">
      <c r="B65" s="93"/>
      <c r="C65" s="93"/>
      <c r="D65" s="94" t="s">
        <v>175</v>
      </c>
      <c r="E65" s="93"/>
      <c r="F65" s="93"/>
      <c r="G65" s="93"/>
      <c r="H65" s="93"/>
      <c r="I65" s="95">
        <f t="shared" ref="I65:S65" si="10">I69*I67/1000</f>
        <v>22256</v>
      </c>
      <c r="J65" s="95">
        <f t="shared" si="10"/>
        <v>42550</v>
      </c>
      <c r="K65" s="95">
        <f t="shared" si="10"/>
        <v>57605</v>
      </c>
      <c r="L65" s="205">
        <f t="shared" si="10"/>
        <v>47023</v>
      </c>
      <c r="M65" s="363">
        <f t="shared" si="10"/>
        <v>47023</v>
      </c>
      <c r="N65" s="206">
        <f t="shared" si="10"/>
        <v>94046</v>
      </c>
      <c r="O65" s="95">
        <f t="shared" si="10"/>
        <v>99959.573089005207</v>
      </c>
      <c r="P65" s="95">
        <f t="shared" si="10"/>
        <v>121151.0025838743</v>
      </c>
      <c r="Q65" s="95">
        <f t="shared" si="10"/>
        <v>146835.01513165564</v>
      </c>
      <c r="R65" s="95">
        <f t="shared" si="10"/>
        <v>177964.03833956661</v>
      </c>
      <c r="S65" s="95">
        <f t="shared" si="10"/>
        <v>215692.41446755471</v>
      </c>
    </row>
    <row r="66" spans="2:19" hidden="1" outlineLevel="1" x14ac:dyDescent="0.2">
      <c r="B66" s="93"/>
      <c r="C66" s="93"/>
      <c r="D66" s="94"/>
      <c r="E66" s="97" t="s">
        <v>161</v>
      </c>
      <c r="F66" s="97"/>
      <c r="G66" s="97"/>
      <c r="H66" s="97"/>
      <c r="I66" s="95"/>
      <c r="J66" s="115">
        <f>J65/(I65/9*12)-1</f>
        <v>0.43388299784327833</v>
      </c>
      <c r="K66" s="115">
        <f>K65/J65-1</f>
        <v>0.35381903642773205</v>
      </c>
      <c r="L66" s="203">
        <f>(L65*2)/K65-1</f>
        <v>0.63260133668952356</v>
      </c>
      <c r="M66" s="362">
        <f>L66</f>
        <v>0.63260133668952356</v>
      </c>
      <c r="N66" s="204">
        <f>N65/K65-1</f>
        <v>0.63260133668952356</v>
      </c>
      <c r="O66" s="115">
        <f>O65/N65-1</f>
        <v>6.287958115183212E-2</v>
      </c>
      <c r="P66" s="115">
        <f>P65/O65-1</f>
        <v>0.21199999999999997</v>
      </c>
      <c r="Q66" s="115">
        <f>Q65/P65-1</f>
        <v>0.21199999999999997</v>
      </c>
      <c r="R66" s="115">
        <f>R65/Q65-1</f>
        <v>0.21199999999999974</v>
      </c>
      <c r="S66" s="115">
        <f>S65/R65-1</f>
        <v>0.21199999999999997</v>
      </c>
    </row>
    <row r="67" spans="2:19" hidden="1" outlineLevel="2" x14ac:dyDescent="0.2">
      <c r="B67" s="93"/>
      <c r="C67" s="93"/>
      <c r="D67" s="93"/>
      <c r="E67" s="99" t="s">
        <v>166</v>
      </c>
      <c r="F67" s="99"/>
      <c r="G67" s="99"/>
      <c r="H67" s="99"/>
      <c r="I67" s="98">
        <f>'Dart_중고차 Sales'!D53</f>
        <v>8752.4715329119354</v>
      </c>
      <c r="J67" s="98">
        <f>'Dart_중고차 Sales'!E53</f>
        <v>8811.0542576982243</v>
      </c>
      <c r="K67" s="98">
        <f>'Dart_중고차 Sales'!F53</f>
        <v>8868.7584872161988</v>
      </c>
      <c r="L67" s="207">
        <f>'Dart_중고차 Sales'!G53</f>
        <v>9501.7762234223683</v>
      </c>
      <c r="M67" s="364">
        <f>L67</f>
        <v>9501.7762234223683</v>
      </c>
      <c r="N67" s="208">
        <f>M67</f>
        <v>9501.7762234223683</v>
      </c>
      <c r="O67" s="98">
        <f>(1+Control!J33)*N67</f>
        <v>9596.7939856565918</v>
      </c>
      <c r="P67" s="98">
        <f>(1+Control!K33)*O67</f>
        <v>9692.7619255131576</v>
      </c>
      <c r="Q67" s="98">
        <f>(1+Control!L33)*P67</f>
        <v>9789.6895447682891</v>
      </c>
      <c r="R67" s="98">
        <f>(1+Control!M33)*Q67</f>
        <v>9887.5864402159714</v>
      </c>
      <c r="S67" s="98">
        <f>(1+Control!N33)*R67</f>
        <v>9986.4623046181314</v>
      </c>
    </row>
    <row r="68" spans="2:19" hidden="1" outlineLevel="2" x14ac:dyDescent="0.2">
      <c r="B68" s="93"/>
      <c r="C68" s="93"/>
      <c r="D68" s="93"/>
      <c r="E68" s="99"/>
      <c r="F68" s="97" t="s">
        <v>161</v>
      </c>
      <c r="G68" s="97"/>
      <c r="H68" s="97"/>
      <c r="I68" s="98"/>
      <c r="J68" s="115">
        <f>J67/(I67)-1</f>
        <v>6.6932779576602819E-3</v>
      </c>
      <c r="K68" s="115">
        <f>K67/J67-1</f>
        <v>6.5490720894787469E-3</v>
      </c>
      <c r="L68" s="203">
        <f>(L67)/K67-1</f>
        <v>7.1376138736738426E-2</v>
      </c>
      <c r="M68" s="362">
        <f>L68</f>
        <v>7.1376138736738426E-2</v>
      </c>
      <c r="N68" s="204">
        <f>N67/K67-1</f>
        <v>7.1376138736738426E-2</v>
      </c>
      <c r="O68" s="115">
        <f>O67/N67-1</f>
        <v>1.0000000000000009E-2</v>
      </c>
      <c r="P68" s="115">
        <f>P67/O67-1</f>
        <v>1.0000000000000009E-2</v>
      </c>
      <c r="Q68" s="115">
        <f>Q67/P67-1</f>
        <v>1.0000000000000009E-2</v>
      </c>
      <c r="R68" s="115">
        <f>R67/Q67-1</f>
        <v>1.0000000000000009E-2</v>
      </c>
      <c r="S68" s="115">
        <f>S67/R67-1</f>
        <v>1.0000000000000009E-2</v>
      </c>
    </row>
    <row r="69" spans="2:19" hidden="1" outlineLevel="2" x14ac:dyDescent="0.2">
      <c r="B69" s="93"/>
      <c r="C69" s="93"/>
      <c r="D69" s="93"/>
      <c r="E69" s="99" t="s">
        <v>167</v>
      </c>
      <c r="F69" s="99"/>
      <c r="G69" s="99"/>
      <c r="H69" s="99"/>
      <c r="I69" s="98">
        <f>'Dart_중고차 Sales'!D42</f>
        <v>2542.8246086046347</v>
      </c>
      <c r="J69" s="98">
        <f>'Dart_중고차 Sales'!E42</f>
        <v>4829.161046514273</v>
      </c>
      <c r="K69" s="98">
        <f>'Dart_중고차 Sales'!F42</f>
        <v>6495.2721492003948</v>
      </c>
      <c r="L69" s="207">
        <f>'Dart_중고차 Sales'!G42</f>
        <v>4948.8641801609556</v>
      </c>
      <c r="M69" s="364">
        <f>L69</f>
        <v>4948.8641801609556</v>
      </c>
      <c r="N69" s="208">
        <f>L69+M69</f>
        <v>9897.7283603219112</v>
      </c>
      <c r="O69" s="98">
        <f>O71*O73</f>
        <v>10415.934033637192</v>
      </c>
      <c r="P69" s="98">
        <f>P71*P73</f>
        <v>12499.120840364629</v>
      </c>
      <c r="Q69" s="98">
        <f>Q71*Q73</f>
        <v>14998.945008437553</v>
      </c>
      <c r="R69" s="98">
        <f>R71*R73</f>
        <v>17998.734010125063</v>
      </c>
      <c r="S69" s="98">
        <f>S71*S73</f>
        <v>21598.480812150076</v>
      </c>
    </row>
    <row r="70" spans="2:19" hidden="1" outlineLevel="2" x14ac:dyDescent="0.2">
      <c r="B70" s="93"/>
      <c r="C70" s="93"/>
      <c r="D70" s="93"/>
      <c r="E70" s="99"/>
      <c r="F70" s="97" t="s">
        <v>161</v>
      </c>
      <c r="G70" s="97"/>
      <c r="H70" s="97"/>
      <c r="I70" s="98"/>
      <c r="J70" s="115">
        <f>J69/(I69/9*12)-1</f>
        <v>0.42434943119147839</v>
      </c>
      <c r="K70" s="115">
        <f>K69/J69-1</f>
        <v>0.34501046592528417</v>
      </c>
      <c r="L70" s="203">
        <f>(L69*2)/K69-1</f>
        <v>0.52383581980323624</v>
      </c>
      <c r="M70" s="362">
        <f>L70</f>
        <v>0.52383581980323624</v>
      </c>
      <c r="N70" s="204">
        <f>N69/K69-1</f>
        <v>0.52383581980323624</v>
      </c>
      <c r="O70" s="115">
        <f>O69/N69-1</f>
        <v>5.2356020942408099E-2</v>
      </c>
      <c r="P70" s="115">
        <f>P69/O69-1</f>
        <v>0.19999999999999996</v>
      </c>
      <c r="Q70" s="115">
        <f>Q69/P69-1</f>
        <v>0.19999999999999996</v>
      </c>
      <c r="R70" s="115">
        <f>R69/Q69-1</f>
        <v>0.19999999999999996</v>
      </c>
      <c r="S70" s="115">
        <f>S69/R69-1</f>
        <v>0.19999999999999996</v>
      </c>
    </row>
    <row r="71" spans="2:19" hidden="1" outlineLevel="2" x14ac:dyDescent="0.2">
      <c r="B71" s="93"/>
      <c r="C71" s="93"/>
      <c r="D71" s="93"/>
      <c r="E71" s="99"/>
      <c r="F71" s="97"/>
      <c r="G71" s="219" t="s">
        <v>168</v>
      </c>
      <c r="H71" s="219"/>
      <c r="I71" s="157">
        <f>I69/I73</f>
        <v>3403.7809721479362</v>
      </c>
      <c r="J71" s="157">
        <f>J69/J73</f>
        <v>5138.7720633298995</v>
      </c>
      <c r="K71" s="157">
        <f>K69/K73</f>
        <v>8307.5681386460255</v>
      </c>
      <c r="L71" s="209">
        <f>L69/L73</f>
        <v>7233.2875233591622</v>
      </c>
      <c r="M71" s="365">
        <f>M69/M73</f>
        <v>7233.2875233591622</v>
      </c>
      <c r="N71" s="210">
        <f>L71+M71</f>
        <v>14466.575046718324</v>
      </c>
      <c r="O71" s="157">
        <f>(1+Control!J34)*N71</f>
        <v>17359.890056061988</v>
      </c>
      <c r="P71" s="157">
        <f>(1+Control!K34)*O71</f>
        <v>20831.868067274383</v>
      </c>
      <c r="Q71" s="157">
        <f>(1+Control!L34)*P71</f>
        <v>24998.241680729257</v>
      </c>
      <c r="R71" s="157">
        <f>(1+Control!M34)*Q71</f>
        <v>29997.890016875106</v>
      </c>
      <c r="S71" s="157">
        <f>(1+Control!N34)*R71</f>
        <v>35997.468020250126</v>
      </c>
    </row>
    <row r="72" spans="2:19" hidden="1" outlineLevel="2" x14ac:dyDescent="0.2">
      <c r="B72" s="93"/>
      <c r="C72" s="93"/>
      <c r="D72" s="93"/>
      <c r="E72" s="99"/>
      <c r="F72" s="97"/>
      <c r="G72" s="97"/>
      <c r="H72" s="97" t="s">
        <v>161</v>
      </c>
      <c r="I72" s="98"/>
      <c r="J72" s="115">
        <f>J71/I71-1</f>
        <v>0.50972465777876041</v>
      </c>
      <c r="K72" s="115">
        <f>K71/J71-1</f>
        <v>0.61664460619464823</v>
      </c>
      <c r="L72" s="203">
        <f>(L71*2)/K71-1</f>
        <v>0.74137302340274269</v>
      </c>
      <c r="M72" s="362">
        <f>L72</f>
        <v>0.74137302340274269</v>
      </c>
      <c r="N72" s="204">
        <f>N71/K71-1</f>
        <v>0.74137302340274269</v>
      </c>
      <c r="O72" s="115">
        <f>O71/N71-1</f>
        <v>0.19999999999999996</v>
      </c>
      <c r="P72" s="115">
        <f>P71/O71-1</f>
        <v>0.19999999999999996</v>
      </c>
      <c r="Q72" s="115">
        <f>Q71/P71-1</f>
        <v>0.19999999999999996</v>
      </c>
      <c r="R72" s="115">
        <f>R71/Q71-1</f>
        <v>0.19999999999999996</v>
      </c>
      <c r="S72" s="115">
        <f>S71/R71-1</f>
        <v>0.19999999999999996</v>
      </c>
    </row>
    <row r="73" spans="2:19" hidden="1" outlineLevel="2" x14ac:dyDescent="0.2">
      <c r="B73" s="93"/>
      <c r="C73" s="93"/>
      <c r="D73" s="93"/>
      <c r="E73" s="99"/>
      <c r="F73" s="97"/>
      <c r="G73" s="219" t="s">
        <v>169</v>
      </c>
      <c r="H73" s="219"/>
      <c r="I73" s="158">
        <f>Dart_시장리서치!F$43</f>
        <v>0.74705882352941178</v>
      </c>
      <c r="J73" s="158">
        <f>Dart_시장리서치!G$43</f>
        <v>0.93974999999999997</v>
      </c>
      <c r="K73" s="158">
        <f>Dart_시장리서치!H$43</f>
        <v>0.78185000000000004</v>
      </c>
      <c r="L73" s="211">
        <f>Dart_시장리서치!I$43</f>
        <v>0.68417910447761199</v>
      </c>
      <c r="M73" s="366">
        <f>L73</f>
        <v>0.68417910447761199</v>
      </c>
      <c r="N73" s="212">
        <f>M73</f>
        <v>0.68417910447761199</v>
      </c>
      <c r="O73" s="158">
        <f>Control!J35</f>
        <v>0.6</v>
      </c>
      <c r="P73" s="158">
        <f>Control!K35</f>
        <v>0.6</v>
      </c>
      <c r="Q73" s="158">
        <f>Control!L35</f>
        <v>0.6</v>
      </c>
      <c r="R73" s="158">
        <f>Control!M35</f>
        <v>0.6</v>
      </c>
      <c r="S73" s="158">
        <f>Control!N35</f>
        <v>0.6</v>
      </c>
    </row>
    <row r="74" spans="2:19" collapsed="1" x14ac:dyDescent="0.2">
      <c r="B74" s="93"/>
      <c r="C74" s="93" t="s">
        <v>176</v>
      </c>
      <c r="D74" s="93"/>
      <c r="E74" s="93"/>
      <c r="F74" s="93"/>
      <c r="G74" s="93"/>
      <c r="H74" s="93"/>
      <c r="I74" s="125">
        <f t="shared" ref="I74:S74" si="11">I77+I86+I95+I104+I113+I122+I131</f>
        <v>518742</v>
      </c>
      <c r="J74" s="125">
        <f t="shared" si="11"/>
        <v>786019</v>
      </c>
      <c r="K74" s="125">
        <f t="shared" si="11"/>
        <v>776425</v>
      </c>
      <c r="L74" s="201">
        <f t="shared" si="11"/>
        <v>469142</v>
      </c>
      <c r="M74" s="361">
        <f t="shared" si="11"/>
        <v>469142</v>
      </c>
      <c r="N74" s="202">
        <f t="shared" si="11"/>
        <v>938284</v>
      </c>
      <c r="O74" s="125">
        <f t="shared" si="11"/>
        <v>984663.92668824969</v>
      </c>
      <c r="P74" s="125">
        <f t="shared" si="11"/>
        <v>1193412.6791461587</v>
      </c>
      <c r="Q74" s="125">
        <f t="shared" si="11"/>
        <v>1446416.1671251445</v>
      </c>
      <c r="R74" s="125">
        <f t="shared" si="11"/>
        <v>1753056.3945556749</v>
      </c>
      <c r="S74" s="125">
        <f t="shared" si="11"/>
        <v>2124704.3502014782</v>
      </c>
    </row>
    <row r="75" spans="2:19" x14ac:dyDescent="0.2">
      <c r="B75" s="93"/>
      <c r="C75" s="96"/>
      <c r="D75" s="97" t="s">
        <v>161</v>
      </c>
      <c r="E75" s="93"/>
      <c r="F75" s="93"/>
      <c r="G75" s="93"/>
      <c r="H75" s="93"/>
      <c r="I75" s="100"/>
      <c r="J75" s="115">
        <f>J74/(I74/9*12)-1</f>
        <v>0.13643053772395519</v>
      </c>
      <c r="K75" s="115">
        <f>K74/J74-1</f>
        <v>-1.2205811818798318E-2</v>
      </c>
      <c r="L75" s="203">
        <f>(L74*2)/K74-1</f>
        <v>0.20846701226776565</v>
      </c>
      <c r="M75" s="362">
        <f>L75</f>
        <v>0.20846701226776565</v>
      </c>
      <c r="N75" s="204">
        <f>N74/K74-1</f>
        <v>0.20846701226776565</v>
      </c>
      <c r="O75" s="115">
        <f>O74/N74-1</f>
        <v>4.9430584650542508E-2</v>
      </c>
      <c r="P75" s="115">
        <f>P74/O74-1</f>
        <v>0.21200000000000019</v>
      </c>
      <c r="Q75" s="115">
        <f>Q74/P74-1</f>
        <v>0.21200000000000019</v>
      </c>
      <c r="R75" s="115">
        <f>R74/Q74-1</f>
        <v>0.21199999999999974</v>
      </c>
      <c r="S75" s="115">
        <f>S74/R74-1</f>
        <v>0.21200000000000019</v>
      </c>
    </row>
    <row r="76" spans="2:19" x14ac:dyDescent="0.2">
      <c r="B76" s="93"/>
      <c r="C76" s="96"/>
      <c r="D76" s="97" t="s">
        <v>177</v>
      </c>
      <c r="E76" s="93"/>
      <c r="F76" s="93"/>
      <c r="G76" s="93"/>
      <c r="H76" s="93"/>
      <c r="I76" s="426">
        <f t="shared" ref="I76:S76" si="12">I81+I90+I99+I108+I117+I126+I135</f>
        <v>39496</v>
      </c>
      <c r="J76" s="426">
        <f t="shared" si="12"/>
        <v>61774</v>
      </c>
      <c r="K76" s="426">
        <f t="shared" si="12"/>
        <v>58875</v>
      </c>
      <c r="L76" s="445">
        <f t="shared" si="12"/>
        <v>31506</v>
      </c>
      <c r="M76" s="447">
        <f t="shared" si="12"/>
        <v>31506</v>
      </c>
      <c r="N76" s="460">
        <f t="shared" si="12"/>
        <v>63012</v>
      </c>
      <c r="O76" s="426">
        <f t="shared" si="12"/>
        <v>65472</v>
      </c>
      <c r="P76" s="426">
        <f t="shared" si="12"/>
        <v>78566.39999999998</v>
      </c>
      <c r="Q76" s="426">
        <f t="shared" si="12"/>
        <v>94279.679999999964</v>
      </c>
      <c r="R76" s="426">
        <f t="shared" si="12"/>
        <v>113135.61599999997</v>
      </c>
      <c r="S76" s="426">
        <f t="shared" si="12"/>
        <v>135762.73919999995</v>
      </c>
    </row>
    <row r="77" spans="2:19" hidden="1" outlineLevel="1" x14ac:dyDescent="0.2">
      <c r="B77" s="93"/>
      <c r="C77" s="93"/>
      <c r="D77" s="94" t="s">
        <v>178</v>
      </c>
      <c r="E77" s="93"/>
      <c r="F77" s="93"/>
      <c r="G77" s="93"/>
      <c r="H77" s="93"/>
      <c r="I77" s="95">
        <f t="shared" ref="I77:S77" si="13">I81*I79/1000</f>
        <v>138493</v>
      </c>
      <c r="J77" s="95">
        <f t="shared" si="13"/>
        <v>225931</v>
      </c>
      <c r="K77" s="95">
        <f t="shared" si="13"/>
        <v>229336.99999999997</v>
      </c>
      <c r="L77" s="205">
        <f t="shared" si="13"/>
        <v>143294</v>
      </c>
      <c r="M77" s="363">
        <f t="shared" si="13"/>
        <v>143294</v>
      </c>
      <c r="N77" s="206">
        <f t="shared" si="13"/>
        <v>286588</v>
      </c>
      <c r="O77" s="95">
        <f t="shared" si="13"/>
        <v>300754.21239382972</v>
      </c>
      <c r="P77" s="95">
        <f t="shared" si="13"/>
        <v>364514.10542132164</v>
      </c>
      <c r="Q77" s="95">
        <f t="shared" si="13"/>
        <v>441791.09577064175</v>
      </c>
      <c r="R77" s="95">
        <f t="shared" si="13"/>
        <v>535450.80807401787</v>
      </c>
      <c r="S77" s="95">
        <f t="shared" si="13"/>
        <v>648966.37938570953</v>
      </c>
    </row>
    <row r="78" spans="2:19" hidden="1" outlineLevel="1" x14ac:dyDescent="0.2">
      <c r="B78" s="93"/>
      <c r="C78" s="93"/>
      <c r="D78" s="94"/>
      <c r="E78" s="97" t="s">
        <v>161</v>
      </c>
      <c r="F78" s="97"/>
      <c r="G78" s="97"/>
      <c r="H78" s="97"/>
      <c r="I78" s="95"/>
      <c r="J78" s="115">
        <f>J77/(I77/9*12)-1</f>
        <v>0.22351490689060083</v>
      </c>
      <c r="K78" s="115">
        <f>K77/J77-1</f>
        <v>1.5075399126281752E-2</v>
      </c>
      <c r="L78" s="203">
        <f>(L77*2)/K77-1</f>
        <v>0.24963699708289555</v>
      </c>
      <c r="M78" s="362">
        <f>L78</f>
        <v>0.24963699708289555</v>
      </c>
      <c r="N78" s="204">
        <f>N77/K77-1</f>
        <v>0.24963699708289555</v>
      </c>
      <c r="O78" s="115">
        <f>O77/N77-1</f>
        <v>4.943058465054273E-2</v>
      </c>
      <c r="P78" s="115">
        <f>P77/O77-1</f>
        <v>0.21200000000000019</v>
      </c>
      <c r="Q78" s="115">
        <f>Q77/P77-1</f>
        <v>0.21199999999999974</v>
      </c>
      <c r="R78" s="115">
        <f>R77/Q77-1</f>
        <v>0.21200000000000019</v>
      </c>
      <c r="S78" s="115">
        <f>S77/R77-1</f>
        <v>0.21199999999999974</v>
      </c>
    </row>
    <row r="79" spans="2:19" hidden="1" outlineLevel="2" x14ac:dyDescent="0.2">
      <c r="B79" s="93"/>
      <c r="C79" s="93"/>
      <c r="D79" s="93"/>
      <c r="E79" s="99" t="s">
        <v>166</v>
      </c>
      <c r="F79" s="99"/>
      <c r="G79" s="99"/>
      <c r="H79" s="99"/>
      <c r="I79" s="98">
        <f>'Dart_중고차 Sales'!K47</f>
        <v>16895.557720542514</v>
      </c>
      <c r="J79" s="98">
        <f>'Dart_중고차 Sales'!L47</f>
        <v>15894.552242946917</v>
      </c>
      <c r="K79" s="98">
        <f>'Dart_중고차 Sales'!M47</f>
        <v>16288.63618201905</v>
      </c>
      <c r="L79" s="207">
        <f>'Dart_중고차 Sales'!N47</f>
        <v>18632.399168030068</v>
      </c>
      <c r="M79" s="364">
        <f>L79</f>
        <v>18632.399168030068</v>
      </c>
      <c r="N79" s="208">
        <f>M79</f>
        <v>18632.399168030068</v>
      </c>
      <c r="O79" s="98">
        <f>(1+Control!J39)*N79</f>
        <v>18818.723159710367</v>
      </c>
      <c r="P79" s="98">
        <f>(1+Control!K39)*O79</f>
        <v>19006.910391307472</v>
      </c>
      <c r="Q79" s="98">
        <f>(1+Control!L39)*P79</f>
        <v>19196.979495220548</v>
      </c>
      <c r="R79" s="98">
        <f>(1+Control!M39)*Q79</f>
        <v>19388.949290172754</v>
      </c>
      <c r="S79" s="98">
        <f>(1+Control!N39)*R79</f>
        <v>19582.83878307448</v>
      </c>
    </row>
    <row r="80" spans="2:19" hidden="1" outlineLevel="2" x14ac:dyDescent="0.2">
      <c r="B80" s="93"/>
      <c r="C80" s="93"/>
      <c r="D80" s="93"/>
      <c r="E80" s="99"/>
      <c r="F80" s="97" t="s">
        <v>161</v>
      </c>
      <c r="G80" s="97"/>
      <c r="H80" s="97"/>
      <c r="I80" s="98"/>
      <c r="J80" s="115">
        <f>J79/(I79)-1</f>
        <v>-5.9246666736459508E-2</v>
      </c>
      <c r="K80" s="115">
        <f>K79/J79-1</f>
        <v>2.4793648355020848E-2</v>
      </c>
      <c r="L80" s="203">
        <f>(L79)/K79-1</f>
        <v>0.14388945518951957</v>
      </c>
      <c r="M80" s="362">
        <f>L80</f>
        <v>0.14388945518951957</v>
      </c>
      <c r="N80" s="204">
        <f>N79/K79-1</f>
        <v>0.14388945518951957</v>
      </c>
      <c r="O80" s="115">
        <f>O79/N79-1</f>
        <v>1.0000000000000009E-2</v>
      </c>
      <c r="P80" s="115">
        <f>P79/O79-1</f>
        <v>1.0000000000000009E-2</v>
      </c>
      <c r="Q80" s="115">
        <f>Q79/P79-1</f>
        <v>1.0000000000000009E-2</v>
      </c>
      <c r="R80" s="115">
        <f>R79/Q79-1</f>
        <v>1.0000000000000009E-2</v>
      </c>
      <c r="S80" s="115">
        <f>S79/R79-1</f>
        <v>1.0000000000000009E-2</v>
      </c>
    </row>
    <row r="81" spans="2:19" hidden="1" outlineLevel="2" x14ac:dyDescent="0.2">
      <c r="B81" s="93"/>
      <c r="C81" s="93"/>
      <c r="D81" s="93"/>
      <c r="E81" s="99" t="s">
        <v>167</v>
      </c>
      <c r="F81" s="99"/>
      <c r="G81" s="99"/>
      <c r="H81" s="99"/>
      <c r="I81" s="98">
        <f>'Dart_중고차 Sales'!K36</f>
        <v>8197.0067097348838</v>
      </c>
      <c r="J81" s="98">
        <f>'Dart_중고차 Sales'!L36</f>
        <v>14214.367070343558</v>
      </c>
      <c r="K81" s="98">
        <f>'Dart_중고차 Sales'!M36</f>
        <v>14079.570409532753</v>
      </c>
      <c r="L81" s="207">
        <f>'Dart_중고차 Sales'!N36</f>
        <v>7690.5823403497816</v>
      </c>
      <c r="M81" s="364">
        <f>L81</f>
        <v>7690.5823403497816</v>
      </c>
      <c r="N81" s="208">
        <f>L81+M81</f>
        <v>15381.164680699563</v>
      </c>
      <c r="O81" s="98">
        <f>O83*O85</f>
        <v>15981.648161854278</v>
      </c>
      <c r="P81" s="98">
        <f>P83*P85</f>
        <v>19177.977794225131</v>
      </c>
      <c r="Q81" s="98">
        <f>Q83*Q85</f>
        <v>23013.573353070155</v>
      </c>
      <c r="R81" s="98">
        <f>R83*R85</f>
        <v>27616.288023684188</v>
      </c>
      <c r="S81" s="98">
        <f>S83*S85</f>
        <v>33139.545628421023</v>
      </c>
    </row>
    <row r="82" spans="2:19" hidden="1" outlineLevel="2" x14ac:dyDescent="0.2">
      <c r="B82" s="93"/>
      <c r="C82" s="93"/>
      <c r="D82" s="93"/>
      <c r="E82" s="99"/>
      <c r="F82" s="97" t="s">
        <v>161</v>
      </c>
      <c r="G82" s="97"/>
      <c r="H82" s="97"/>
      <c r="I82" s="98"/>
      <c r="J82" s="115">
        <f>J81/(I81/9*12)-1</f>
        <v>0.30056930295015816</v>
      </c>
      <c r="K82" s="115">
        <f>K81/J81-1</f>
        <v>-9.4831278905158634E-3</v>
      </c>
      <c r="L82" s="203">
        <f>(L81*2)/K81-1</f>
        <v>9.2445595519416557E-2</v>
      </c>
      <c r="M82" s="362">
        <f>L82</f>
        <v>9.2445595519416557E-2</v>
      </c>
      <c r="N82" s="204">
        <f>N81/K81-1</f>
        <v>9.2445595519416557E-2</v>
      </c>
      <c r="O82" s="115">
        <f>O81/N81-1</f>
        <v>3.9040182822319469E-2</v>
      </c>
      <c r="P82" s="115">
        <f>P81/O81-1</f>
        <v>0.19999999999999973</v>
      </c>
      <c r="Q82" s="115">
        <f>Q81/P81-1</f>
        <v>0.19999999999999996</v>
      </c>
      <c r="R82" s="115">
        <f>R81/Q81-1</f>
        <v>0.20000000000000018</v>
      </c>
      <c r="S82" s="115">
        <f>S81/R81-1</f>
        <v>0.19999999999999996</v>
      </c>
    </row>
    <row r="83" spans="2:19" hidden="1" outlineLevel="2" x14ac:dyDescent="0.2">
      <c r="B83" s="93"/>
      <c r="C83" s="93"/>
      <c r="D83" s="93"/>
      <c r="E83" s="99"/>
      <c r="F83" s="97"/>
      <c r="G83" s="219" t="s">
        <v>168</v>
      </c>
      <c r="H83" s="219"/>
      <c r="I83" s="157">
        <f>I81/I85</f>
        <v>530057.60422986862</v>
      </c>
      <c r="J83" s="157">
        <f>J81/J85</f>
        <v>569044.09241686831</v>
      </c>
      <c r="K83" s="157">
        <f>K81/K85</f>
        <v>628708.12070762808</v>
      </c>
      <c r="L83" s="209">
        <f>L81/L85</f>
        <v>332951.00337196415</v>
      </c>
      <c r="M83" s="365">
        <f>M81/M85</f>
        <v>332951.00337196415</v>
      </c>
      <c r="N83" s="210">
        <f>L83+M83</f>
        <v>665902.0067439283</v>
      </c>
      <c r="O83" s="157">
        <f>(1+Control!J40)*N83</f>
        <v>799082.40809271391</v>
      </c>
      <c r="P83" s="157">
        <f>(1+Control!K40)*O83</f>
        <v>958898.8897112566</v>
      </c>
      <c r="Q83" s="157">
        <f>(1+Control!L40)*P83</f>
        <v>1150678.6676535078</v>
      </c>
      <c r="R83" s="157">
        <f>(1+Control!M40)*Q83</f>
        <v>1380814.4011842094</v>
      </c>
      <c r="S83" s="157">
        <f>(1+Control!N40)*R83</f>
        <v>1656977.2814210511</v>
      </c>
    </row>
    <row r="84" spans="2:19" hidden="1" outlineLevel="2" x14ac:dyDescent="0.2">
      <c r="B84" s="93"/>
      <c r="C84" s="93"/>
      <c r="D84" s="93"/>
      <c r="E84" s="99"/>
      <c r="F84" s="97"/>
      <c r="G84" s="97"/>
      <c r="H84" s="97" t="s">
        <v>161</v>
      </c>
      <c r="I84" s="98"/>
      <c r="J84" s="115">
        <f>J83/I83-1</f>
        <v>7.35514175740275E-2</v>
      </c>
      <c r="K84" s="115">
        <f>K83/J83-1</f>
        <v>0.10484956980636095</v>
      </c>
      <c r="L84" s="203">
        <f>(L83*2)/K83-1</f>
        <v>5.9159226374295049E-2</v>
      </c>
      <c r="M84" s="362">
        <f>L84</f>
        <v>5.9159226374295049E-2</v>
      </c>
      <c r="N84" s="204">
        <f>N83/K83-1</f>
        <v>5.9159226374295049E-2</v>
      </c>
      <c r="O84" s="115">
        <f>O83/N83-1</f>
        <v>0.19999999999999996</v>
      </c>
      <c r="P84" s="115">
        <f>P83/O83-1</f>
        <v>0.19999999999999996</v>
      </c>
      <c r="Q84" s="115">
        <f>Q83/P83-1</f>
        <v>0.19999999999999996</v>
      </c>
      <c r="R84" s="115">
        <f>R83/Q83-1</f>
        <v>0.19999999999999996</v>
      </c>
      <c r="S84" s="115">
        <f>S83/R83-1</f>
        <v>0.19999999999999996</v>
      </c>
    </row>
    <row r="85" spans="2:19" hidden="1" outlineLevel="2" x14ac:dyDescent="0.2">
      <c r="B85" s="93"/>
      <c r="C85" s="93"/>
      <c r="D85" s="93"/>
      <c r="E85" s="99"/>
      <c r="F85" s="97"/>
      <c r="G85" s="219" t="s">
        <v>169</v>
      </c>
      <c r="H85" s="219"/>
      <c r="I85" s="158">
        <f>Dart_시장리서치!F$48</f>
        <v>1.5464369616288175E-2</v>
      </c>
      <c r="J85" s="158">
        <f>Dart_시장리서치!G$48</f>
        <v>2.4979377274565305E-2</v>
      </c>
      <c r="K85" s="158">
        <f>Dart_시장리서치!H$48</f>
        <v>2.2394446557626475E-2</v>
      </c>
      <c r="L85" s="211">
        <f>Dart_시장리서치!I$48</f>
        <v>2.309824046920821E-2</v>
      </c>
      <c r="M85" s="366">
        <f>L85</f>
        <v>2.309824046920821E-2</v>
      </c>
      <c r="N85" s="212">
        <f>M85</f>
        <v>2.309824046920821E-2</v>
      </c>
      <c r="O85" s="158">
        <f>Control!J41</f>
        <v>0.02</v>
      </c>
      <c r="P85" s="158">
        <f>Control!K41</f>
        <v>0.02</v>
      </c>
      <c r="Q85" s="158">
        <f>Control!L41</f>
        <v>0.02</v>
      </c>
      <c r="R85" s="158">
        <f>Control!M41</f>
        <v>0.02</v>
      </c>
      <c r="S85" s="158">
        <f>Control!N41</f>
        <v>0.02</v>
      </c>
    </row>
    <row r="86" spans="2:19" hidden="1" outlineLevel="1" x14ac:dyDescent="0.2">
      <c r="B86" s="93"/>
      <c r="C86" s="93"/>
      <c r="D86" s="94" t="s">
        <v>179</v>
      </c>
      <c r="E86" s="93"/>
      <c r="F86" s="93"/>
      <c r="G86" s="93"/>
      <c r="H86" s="93"/>
      <c r="I86" s="95">
        <f t="shared" ref="I86:S86" si="14">I90*I88/1000</f>
        <v>108869</v>
      </c>
      <c r="J86" s="95">
        <f t="shared" si="14"/>
        <v>164745</v>
      </c>
      <c r="K86" s="95">
        <f t="shared" si="14"/>
        <v>156946.99999999997</v>
      </c>
      <c r="L86" s="205">
        <f t="shared" si="14"/>
        <v>99480</v>
      </c>
      <c r="M86" s="363">
        <f t="shared" si="14"/>
        <v>99480</v>
      </c>
      <c r="N86" s="206">
        <f t="shared" si="14"/>
        <v>198960</v>
      </c>
      <c r="O86" s="95">
        <f t="shared" si="14"/>
        <v>208794.70912207192</v>
      </c>
      <c r="P86" s="95">
        <f t="shared" si="14"/>
        <v>253059.18745595118</v>
      </c>
      <c r="Q86" s="95">
        <f t="shared" si="14"/>
        <v>306707.73519661289</v>
      </c>
      <c r="R86" s="95">
        <f t="shared" si="14"/>
        <v>371729.77505829476</v>
      </c>
      <c r="S86" s="95">
        <f t="shared" si="14"/>
        <v>450536.48737065325</v>
      </c>
    </row>
    <row r="87" spans="2:19" hidden="1" outlineLevel="1" x14ac:dyDescent="0.2">
      <c r="B87" s="93"/>
      <c r="C87" s="93"/>
      <c r="D87" s="94"/>
      <c r="E87" s="97" t="s">
        <v>161</v>
      </c>
      <c r="F87" s="97"/>
      <c r="G87" s="97"/>
      <c r="H87" s="97"/>
      <c r="I87" s="95"/>
      <c r="J87" s="115">
        <f>J86/(I86/9*12)-1</f>
        <v>0.13493051281815771</v>
      </c>
      <c r="K87" s="115">
        <f>K86/J86-1</f>
        <v>-4.7333758232420031E-2</v>
      </c>
      <c r="L87" s="203">
        <f>(L86*2)/K86-1</f>
        <v>0.26768909249619321</v>
      </c>
      <c r="M87" s="362">
        <f>L87</f>
        <v>0.26768909249619321</v>
      </c>
      <c r="N87" s="204">
        <f>N86/K86-1</f>
        <v>0.26768909249619321</v>
      </c>
      <c r="O87" s="115">
        <f>O86/N86-1</f>
        <v>4.9430584650542508E-2</v>
      </c>
      <c r="P87" s="115">
        <f>P86/O86-1</f>
        <v>0.21199999999999997</v>
      </c>
      <c r="Q87" s="115">
        <f>Q86/P86-1</f>
        <v>0.21200000000000019</v>
      </c>
      <c r="R87" s="115">
        <f>R86/Q86-1</f>
        <v>0.21199999999999974</v>
      </c>
      <c r="S87" s="115">
        <f>S86/R86-1</f>
        <v>0.21199999999999997</v>
      </c>
    </row>
    <row r="88" spans="2:19" hidden="1" outlineLevel="2" x14ac:dyDescent="0.2">
      <c r="B88" s="93"/>
      <c r="C88" s="93"/>
      <c r="D88" s="93"/>
      <c r="E88" s="99" t="s">
        <v>166</v>
      </c>
      <c r="F88" s="99"/>
      <c r="G88" s="99"/>
      <c r="H88" s="99"/>
      <c r="I88" s="98">
        <f>'Dart_중고차 Sales'!K48</f>
        <v>18370.52638984684</v>
      </c>
      <c r="J88" s="98">
        <f>'Dart_중고차 Sales'!L48</f>
        <v>17951.765441457195</v>
      </c>
      <c r="K88" s="98">
        <f>'Dart_중고차 Sales'!M48</f>
        <v>18522.540694444313</v>
      </c>
      <c r="L88" s="207">
        <f>'Dart_중고차 Sales'!N48</f>
        <v>20249.048848726798</v>
      </c>
      <c r="M88" s="364">
        <f>L88</f>
        <v>20249.048848726798</v>
      </c>
      <c r="N88" s="208">
        <f>M88</f>
        <v>20249.048848726798</v>
      </c>
      <c r="O88" s="98">
        <f>(1+Control!J42)*N88</f>
        <v>20451.539337214064</v>
      </c>
      <c r="P88" s="98">
        <f>(1+Control!K42)*O88</f>
        <v>20656.054730586206</v>
      </c>
      <c r="Q88" s="98">
        <f>(1+Control!L42)*P88</f>
        <v>20862.61527789207</v>
      </c>
      <c r="R88" s="98">
        <f>(1+Control!M42)*Q88</f>
        <v>21071.241430670991</v>
      </c>
      <c r="S88" s="98">
        <f>(1+Control!N42)*R88</f>
        <v>21281.953844977699</v>
      </c>
    </row>
    <row r="89" spans="2:19" hidden="1" outlineLevel="2" x14ac:dyDescent="0.2">
      <c r="B89" s="93"/>
      <c r="C89" s="93"/>
      <c r="D89" s="93"/>
      <c r="E89" s="99"/>
      <c r="F89" s="97" t="s">
        <v>161</v>
      </c>
      <c r="G89" s="97"/>
      <c r="H89" s="97"/>
      <c r="I89" s="98"/>
      <c r="J89" s="115">
        <f>J88/(I88)-1</f>
        <v>-2.2795261251799981E-2</v>
      </c>
      <c r="K89" s="115">
        <f>K88/J88-1</f>
        <v>3.1794937096770948E-2</v>
      </c>
      <c r="L89" s="203">
        <f>(L88)/K88-1</f>
        <v>9.3211195092708587E-2</v>
      </c>
      <c r="M89" s="362">
        <f>L89</f>
        <v>9.3211195092708587E-2</v>
      </c>
      <c r="N89" s="204">
        <f>N88/K88-1</f>
        <v>9.3211195092708587E-2</v>
      </c>
      <c r="O89" s="115">
        <f>O88/N88-1</f>
        <v>1.0000000000000009E-2</v>
      </c>
      <c r="P89" s="115">
        <f>P88/O88-1</f>
        <v>1.0000000000000009E-2</v>
      </c>
      <c r="Q89" s="115">
        <f>Q88/P88-1</f>
        <v>1.0000000000000009E-2</v>
      </c>
      <c r="R89" s="115">
        <f>R88/Q88-1</f>
        <v>1.0000000000000009E-2</v>
      </c>
      <c r="S89" s="115">
        <f>S88/R88-1</f>
        <v>1.0000000000000009E-2</v>
      </c>
    </row>
    <row r="90" spans="2:19" hidden="1" outlineLevel="2" x14ac:dyDescent="0.2">
      <c r="B90" s="93"/>
      <c r="C90" s="93"/>
      <c r="D90" s="93"/>
      <c r="E90" s="99" t="s">
        <v>167</v>
      </c>
      <c r="F90" s="99"/>
      <c r="G90" s="99"/>
      <c r="H90" s="99"/>
      <c r="I90" s="98">
        <f>'Dart_중고차 Sales'!K37</f>
        <v>5926.286361623831</v>
      </c>
      <c r="J90" s="98">
        <f>'Dart_중고차 Sales'!L37</f>
        <v>9177.0918318453241</v>
      </c>
      <c r="K90" s="98">
        <f>'Dart_중고차 Sales'!M37</f>
        <v>8473.2976209400349</v>
      </c>
      <c r="L90" s="207">
        <f>'Dart_중고차 Sales'!N37</f>
        <v>4912.8233500337974</v>
      </c>
      <c r="M90" s="364">
        <f>L90</f>
        <v>4912.8233500337974</v>
      </c>
      <c r="N90" s="208">
        <f>L90+M90</f>
        <v>9825.6467000675948</v>
      </c>
      <c r="O90" s="98">
        <f>O92*O94</f>
        <v>10209.241743585753</v>
      </c>
      <c r="P90" s="98">
        <f>P92*P94</f>
        <v>12251.090092302904</v>
      </c>
      <c r="Q90" s="98">
        <f>Q92*Q94</f>
        <v>14701.308110763484</v>
      </c>
      <c r="R90" s="98">
        <f>R92*R94</f>
        <v>17641.569732916181</v>
      </c>
      <c r="S90" s="98">
        <f>S92*S94</f>
        <v>21169.883679499417</v>
      </c>
    </row>
    <row r="91" spans="2:19" hidden="1" outlineLevel="2" x14ac:dyDescent="0.2">
      <c r="B91" s="93"/>
      <c r="C91" s="93"/>
      <c r="D91" s="93"/>
      <c r="E91" s="99"/>
      <c r="F91" s="97" t="s">
        <v>161</v>
      </c>
      <c r="G91" s="97"/>
      <c r="H91" s="97"/>
      <c r="I91" s="98"/>
      <c r="J91" s="115">
        <f>J90/(I90/9*12)-1</f>
        <v>0.16140504422031809</v>
      </c>
      <c r="K91" s="115">
        <f>K90/J90-1</f>
        <v>-7.6690331076677332E-2</v>
      </c>
      <c r="L91" s="203">
        <f>(L90*2)/K90-1</f>
        <v>0.15960127209334685</v>
      </c>
      <c r="M91" s="362">
        <f>L91</f>
        <v>0.15960127209334685</v>
      </c>
      <c r="N91" s="204">
        <f>N90/K90-1</f>
        <v>0.15960127209334685</v>
      </c>
      <c r="O91" s="115">
        <f>O90/N90-1</f>
        <v>3.9040182822319469E-2</v>
      </c>
      <c r="P91" s="115">
        <f>P90/O90-1</f>
        <v>0.19999999999999996</v>
      </c>
      <c r="Q91" s="115">
        <f>Q90/P90-1</f>
        <v>0.19999999999999996</v>
      </c>
      <c r="R91" s="115">
        <f>R90/Q90-1</f>
        <v>0.19999999999999996</v>
      </c>
      <c r="S91" s="115">
        <f>S90/R90-1</f>
        <v>0.19999999999999996</v>
      </c>
    </row>
    <row r="92" spans="2:19" hidden="1" outlineLevel="2" x14ac:dyDescent="0.2">
      <c r="B92" s="93"/>
      <c r="C92" s="93"/>
      <c r="D92" s="93"/>
      <c r="E92" s="99"/>
      <c r="F92" s="97"/>
      <c r="G92" s="219" t="s">
        <v>168</v>
      </c>
      <c r="H92" s="219"/>
      <c r="I92" s="157">
        <f>I90/I94</f>
        <v>383221.98115219933</v>
      </c>
      <c r="J92" s="157">
        <f>J90/J94</f>
        <v>367386.7339034786</v>
      </c>
      <c r="K92" s="157">
        <f>K90/K94</f>
        <v>378366.02030490618</v>
      </c>
      <c r="L92" s="209">
        <f>L90/L94</f>
        <v>212692.53632470322</v>
      </c>
      <c r="M92" s="365">
        <f>M90/M94</f>
        <v>212692.53632470322</v>
      </c>
      <c r="N92" s="210">
        <f>L92+M92</f>
        <v>425385.07264940644</v>
      </c>
      <c r="O92" s="157">
        <f>(1+Control!J43)*N92</f>
        <v>510462.08717928769</v>
      </c>
      <c r="P92" s="157">
        <f>(1+Control!K43)*O92</f>
        <v>612554.50461514515</v>
      </c>
      <c r="Q92" s="157">
        <f>(1+Control!L43)*P92</f>
        <v>735065.40553817421</v>
      </c>
      <c r="R92" s="157">
        <f>(1+Control!M43)*Q92</f>
        <v>882078.48664580903</v>
      </c>
      <c r="S92" s="157">
        <f>(1+Control!N43)*R92</f>
        <v>1058494.1839749708</v>
      </c>
    </row>
    <row r="93" spans="2:19" hidden="1" outlineLevel="2" x14ac:dyDescent="0.2">
      <c r="B93" s="93"/>
      <c r="C93" s="93"/>
      <c r="D93" s="93"/>
      <c r="E93" s="99"/>
      <c r="F93" s="97"/>
      <c r="G93" s="97"/>
      <c r="H93" s="97" t="s">
        <v>161</v>
      </c>
      <c r="I93" s="98"/>
      <c r="J93" s="115">
        <f>J92/I92-1</f>
        <v>-4.132134383604591E-2</v>
      </c>
      <c r="K93" s="115">
        <f>K92/J92-1</f>
        <v>2.9884819968246656E-2</v>
      </c>
      <c r="L93" s="203">
        <f>(L92*2)/K92-1</f>
        <v>0.12426869703206944</v>
      </c>
      <c r="M93" s="362">
        <f>L93</f>
        <v>0.12426869703206944</v>
      </c>
      <c r="N93" s="204">
        <f>N92/K92-1</f>
        <v>0.12426869703206944</v>
      </c>
      <c r="O93" s="115">
        <f>O92/N92-1</f>
        <v>0.19999999999999996</v>
      </c>
      <c r="P93" s="115">
        <f>P92/O92-1</f>
        <v>0.19999999999999996</v>
      </c>
      <c r="Q93" s="115">
        <f>Q92/P92-1</f>
        <v>0.19999999999999996</v>
      </c>
      <c r="R93" s="115">
        <f>R92/Q92-1</f>
        <v>0.19999999999999996</v>
      </c>
      <c r="S93" s="115">
        <f>S92/R92-1</f>
        <v>0.19999999999999996</v>
      </c>
    </row>
    <row r="94" spans="2:19" hidden="1" outlineLevel="2" x14ac:dyDescent="0.2">
      <c r="B94" s="93"/>
      <c r="C94" s="93"/>
      <c r="D94" s="93"/>
      <c r="E94" s="99"/>
      <c r="F94" s="97"/>
      <c r="G94" s="219" t="s">
        <v>169</v>
      </c>
      <c r="H94" s="219"/>
      <c r="I94" s="158">
        <f>Dart_시장리서치!F$48</f>
        <v>1.5464369616288175E-2</v>
      </c>
      <c r="J94" s="158">
        <f>Dart_시장리서치!G$48</f>
        <v>2.4979377274565305E-2</v>
      </c>
      <c r="K94" s="158">
        <f>Dart_시장리서치!H$48</f>
        <v>2.2394446557626475E-2</v>
      </c>
      <c r="L94" s="211">
        <f>Dart_시장리서치!I$48</f>
        <v>2.309824046920821E-2</v>
      </c>
      <c r="M94" s="366">
        <f>L94</f>
        <v>2.309824046920821E-2</v>
      </c>
      <c r="N94" s="212">
        <f>M94</f>
        <v>2.309824046920821E-2</v>
      </c>
      <c r="O94" s="158">
        <f>Control!J44</f>
        <v>0.02</v>
      </c>
      <c r="P94" s="158">
        <f>Control!K44</f>
        <v>0.02</v>
      </c>
      <c r="Q94" s="158">
        <f>Control!L44</f>
        <v>0.02</v>
      </c>
      <c r="R94" s="158">
        <f>Control!M44</f>
        <v>0.02</v>
      </c>
      <c r="S94" s="158">
        <f>Control!N44</f>
        <v>0.02</v>
      </c>
    </row>
    <row r="95" spans="2:19" hidden="1" outlineLevel="1" x14ac:dyDescent="0.2">
      <c r="B95" s="93"/>
      <c r="C95" s="93"/>
      <c r="D95" s="94" t="s">
        <v>180</v>
      </c>
      <c r="E95" s="93"/>
      <c r="F95" s="93"/>
      <c r="G95" s="93"/>
      <c r="H95" s="93"/>
      <c r="I95" s="95">
        <f t="shared" ref="I95:S95" si="15">I99*I97/1000</f>
        <v>105618</v>
      </c>
      <c r="J95" s="95">
        <f t="shared" si="15"/>
        <v>154058</v>
      </c>
      <c r="K95" s="95">
        <f t="shared" si="15"/>
        <v>156090</v>
      </c>
      <c r="L95" s="205">
        <f t="shared" si="15"/>
        <v>91748</v>
      </c>
      <c r="M95" s="363">
        <f t="shared" si="15"/>
        <v>91748</v>
      </c>
      <c r="N95" s="206">
        <f t="shared" si="15"/>
        <v>183496</v>
      </c>
      <c r="O95" s="95">
        <f t="shared" si="15"/>
        <v>192566.31456103601</v>
      </c>
      <c r="P95" s="95">
        <f t="shared" si="15"/>
        <v>233390.37324797566</v>
      </c>
      <c r="Q95" s="95">
        <f t="shared" si="15"/>
        <v>282869.13237654651</v>
      </c>
      <c r="R95" s="95">
        <f t="shared" si="15"/>
        <v>342837.3884403744</v>
      </c>
      <c r="S95" s="95">
        <f t="shared" si="15"/>
        <v>415518.91478973371</v>
      </c>
    </row>
    <row r="96" spans="2:19" hidden="1" outlineLevel="1" x14ac:dyDescent="0.2">
      <c r="B96" s="93"/>
      <c r="C96" s="93"/>
      <c r="D96" s="94"/>
      <c r="E96" s="97" t="s">
        <v>161</v>
      </c>
      <c r="F96" s="97"/>
      <c r="G96" s="97"/>
      <c r="H96" s="97"/>
      <c r="I96" s="95"/>
      <c r="J96" s="115">
        <f>J95/(I95/9*12)-1</f>
        <v>9.3975458728625894E-2</v>
      </c>
      <c r="K96" s="115">
        <f>K95/J95-1</f>
        <v>1.3189837593633458E-2</v>
      </c>
      <c r="L96" s="203">
        <f>(L95*2)/K95-1</f>
        <v>0.17557819206867831</v>
      </c>
      <c r="M96" s="362">
        <f>L96</f>
        <v>0.17557819206867831</v>
      </c>
      <c r="N96" s="204">
        <f>N95/K95-1</f>
        <v>0.17557819206867831</v>
      </c>
      <c r="O96" s="115">
        <f>O95/N95-1</f>
        <v>4.943058465054273E-2</v>
      </c>
      <c r="P96" s="115">
        <f>P95/O95-1</f>
        <v>0.21200000000000019</v>
      </c>
      <c r="Q96" s="115">
        <f>Q95/P95-1</f>
        <v>0.21199999999999997</v>
      </c>
      <c r="R96" s="115">
        <f>R95/Q95-1</f>
        <v>0.21200000000000019</v>
      </c>
      <c r="S96" s="115">
        <f>S95/R95-1</f>
        <v>0.21199999999999974</v>
      </c>
    </row>
    <row r="97" spans="2:19" hidden="1" outlineLevel="2" x14ac:dyDescent="0.2">
      <c r="B97" s="93"/>
      <c r="C97" s="93"/>
      <c r="D97" s="93"/>
      <c r="E97" s="99" t="s">
        <v>166</v>
      </c>
      <c r="F97" s="99"/>
      <c r="G97" s="99"/>
      <c r="H97" s="99"/>
      <c r="I97" s="98">
        <f>'Dart_중고차 Sales'!K49</f>
        <v>13282.850173535229</v>
      </c>
      <c r="J97" s="98">
        <f>'Dart_중고차 Sales'!L49</f>
        <v>12990.604922302598</v>
      </c>
      <c r="K97" s="98">
        <f>'Dart_중고차 Sales'!M49</f>
        <v>13820.904288014686</v>
      </c>
      <c r="L97" s="207">
        <f>'Dart_중고차 Sales'!N49</f>
        <v>15399.099806636601</v>
      </c>
      <c r="M97" s="364">
        <f>L97</f>
        <v>15399.099806636601</v>
      </c>
      <c r="N97" s="208">
        <f>M97</f>
        <v>15399.099806636601</v>
      </c>
      <c r="O97" s="98">
        <f>(1+Control!J45)*N97</f>
        <v>15553.090804702968</v>
      </c>
      <c r="P97" s="98">
        <f>(1+Control!K45)*O97</f>
        <v>15708.621712749999</v>
      </c>
      <c r="Q97" s="98">
        <f>(1+Control!L45)*P97</f>
        <v>15865.707929877499</v>
      </c>
      <c r="R97" s="98">
        <f>(1+Control!M45)*Q97</f>
        <v>16024.365009176274</v>
      </c>
      <c r="S97" s="98">
        <f>(1+Control!N45)*R97</f>
        <v>16184.608659268037</v>
      </c>
    </row>
    <row r="98" spans="2:19" hidden="1" outlineLevel="2" x14ac:dyDescent="0.2">
      <c r="B98" s="93"/>
      <c r="C98" s="93"/>
      <c r="D98" s="93"/>
      <c r="E98" s="99"/>
      <c r="F98" s="97" t="s">
        <v>161</v>
      </c>
      <c r="G98" s="97"/>
      <c r="H98" s="97"/>
      <c r="I98" s="98"/>
      <c r="J98" s="115">
        <f>J97/(I97)-1</f>
        <v>-2.200169748318781E-2</v>
      </c>
      <c r="K98" s="115">
        <f>K97/J97-1</f>
        <v>6.3915373508635298E-2</v>
      </c>
      <c r="L98" s="203">
        <f>(L97)/K97-1</f>
        <v>0.11418902017797095</v>
      </c>
      <c r="M98" s="362">
        <f>L98</f>
        <v>0.11418902017797095</v>
      </c>
      <c r="N98" s="204">
        <f>N97/K97-1</f>
        <v>0.11418902017797095</v>
      </c>
      <c r="O98" s="115">
        <f>O97/N97-1</f>
        <v>1.0000000000000009E-2</v>
      </c>
      <c r="P98" s="115">
        <f>P97/O97-1</f>
        <v>1.0000000000000009E-2</v>
      </c>
      <c r="Q98" s="115">
        <f>Q97/P97-1</f>
        <v>1.0000000000000009E-2</v>
      </c>
      <c r="R98" s="115">
        <f>R97/Q97-1</f>
        <v>1.0000000000000009E-2</v>
      </c>
      <c r="S98" s="115">
        <f>S97/R97-1</f>
        <v>1.0000000000000009E-2</v>
      </c>
    </row>
    <row r="99" spans="2:19" hidden="1" outlineLevel="2" x14ac:dyDescent="0.2">
      <c r="B99" s="93"/>
      <c r="C99" s="93"/>
      <c r="D99" s="93"/>
      <c r="E99" s="99" t="s">
        <v>167</v>
      </c>
      <c r="F99" s="99"/>
      <c r="G99" s="99"/>
      <c r="H99" s="99"/>
      <c r="I99" s="98">
        <f>'Dart_중고차 Sales'!K38</f>
        <v>7951.4560971585342</v>
      </c>
      <c r="J99" s="98">
        <f>'Dart_중고차 Sales'!L38</f>
        <v>11859.185997990697</v>
      </c>
      <c r="K99" s="98">
        <f>'Dart_중고차 Sales'!M38</f>
        <v>11293.761735645567</v>
      </c>
      <c r="L99" s="207">
        <f>'Dart_중고차 Sales'!N38</f>
        <v>5958.0106078966419</v>
      </c>
      <c r="M99" s="364">
        <f>L99</f>
        <v>5958.0106078966419</v>
      </c>
      <c r="N99" s="208">
        <f>L99+M99</f>
        <v>11916.021215793284</v>
      </c>
      <c r="O99" s="98">
        <f>O101*O103</f>
        <v>12381.224862572493</v>
      </c>
      <c r="P99" s="98">
        <f>P101*P103</f>
        <v>14857.469835086991</v>
      </c>
      <c r="Q99" s="98">
        <f>Q101*Q103</f>
        <v>17828.96380210439</v>
      </c>
      <c r="R99" s="98">
        <f>R101*R103</f>
        <v>21394.756562525268</v>
      </c>
      <c r="S99" s="98">
        <f>S101*S103</f>
        <v>25673.707875030319</v>
      </c>
    </row>
    <row r="100" spans="2:19" hidden="1" outlineLevel="2" x14ac:dyDescent="0.2">
      <c r="B100" s="93"/>
      <c r="C100" s="93"/>
      <c r="D100" s="93"/>
      <c r="E100" s="99"/>
      <c r="F100" s="97" t="s">
        <v>161</v>
      </c>
      <c r="G100" s="97"/>
      <c r="H100" s="97"/>
      <c r="I100" s="98"/>
      <c r="J100" s="115">
        <f>J99/(I99/9*12)-1</f>
        <v>0.11858625512268728</v>
      </c>
      <c r="K100" s="115">
        <f>K99/J99-1</f>
        <v>-4.7678167999129939E-2</v>
      </c>
      <c r="L100" s="203">
        <f>(L99*2)/K99-1</f>
        <v>5.5097627762389578E-2</v>
      </c>
      <c r="M100" s="362">
        <f>L100</f>
        <v>5.5097627762389578E-2</v>
      </c>
      <c r="N100" s="204">
        <f>N99/K99-1</f>
        <v>5.5097627762389578E-2</v>
      </c>
      <c r="O100" s="115">
        <f>O99/N99-1</f>
        <v>3.9040182822319691E-2</v>
      </c>
      <c r="P100" s="115">
        <f>P99/O99-1</f>
        <v>0.19999999999999996</v>
      </c>
      <c r="Q100" s="115">
        <f>Q99/P99-1</f>
        <v>0.19999999999999996</v>
      </c>
      <c r="R100" s="115">
        <f>R99/Q99-1</f>
        <v>0.19999999999999996</v>
      </c>
      <c r="S100" s="115">
        <f>S99/R99-1</f>
        <v>0.19999999999999996</v>
      </c>
    </row>
    <row r="101" spans="2:19" hidden="1" outlineLevel="2" x14ac:dyDescent="0.2">
      <c r="B101" s="93"/>
      <c r="C101" s="93"/>
      <c r="D101" s="93"/>
      <c r="E101" s="99"/>
      <c r="F101" s="97"/>
      <c r="G101" s="219" t="s">
        <v>168</v>
      </c>
      <c r="H101" s="219"/>
      <c r="I101" s="157">
        <f>I99/I103</f>
        <v>514179.12882678997</v>
      </c>
      <c r="J101" s="157">
        <f>J99/J103</f>
        <v>474759.07295999926</v>
      </c>
      <c r="K101" s="157">
        <f>K99/K103</f>
        <v>504310.82128258504</v>
      </c>
      <c r="L101" s="209">
        <f>L99/L103</f>
        <v>257942.18463692695</v>
      </c>
      <c r="M101" s="365">
        <f>M99/M103</f>
        <v>257942.18463692695</v>
      </c>
      <c r="N101" s="210">
        <f>L101+M101</f>
        <v>515884.3692738539</v>
      </c>
      <c r="O101" s="157">
        <f>(1+Control!J46)*N101</f>
        <v>619061.24312862463</v>
      </c>
      <c r="P101" s="157">
        <f>(1+Control!K46)*O101</f>
        <v>742873.49175434955</v>
      </c>
      <c r="Q101" s="157">
        <f>(1+Control!L46)*P101</f>
        <v>891448.19010521949</v>
      </c>
      <c r="R101" s="157">
        <f>(1+Control!M46)*Q101</f>
        <v>1069737.8281262633</v>
      </c>
      <c r="S101" s="157">
        <f>(1+Control!N46)*R101</f>
        <v>1283685.393751516</v>
      </c>
    </row>
    <row r="102" spans="2:19" hidden="1" outlineLevel="2" x14ac:dyDescent="0.2">
      <c r="B102" s="93"/>
      <c r="C102" s="93"/>
      <c r="D102" s="93"/>
      <c r="E102" s="99"/>
      <c r="F102" s="97"/>
      <c r="G102" s="97"/>
      <c r="H102" s="97" t="s">
        <v>161</v>
      </c>
      <c r="I102" s="98"/>
      <c r="J102" s="115">
        <f>J101/I101-1</f>
        <v>-7.6665997619810078E-2</v>
      </c>
      <c r="K102" s="115">
        <f>K101/J101-1</f>
        <v>6.2245778976562471E-2</v>
      </c>
      <c r="L102" s="203">
        <f>(L101*2)/K101-1</f>
        <v>2.294923587369091E-2</v>
      </c>
      <c r="M102" s="362">
        <f>L102</f>
        <v>2.294923587369091E-2</v>
      </c>
      <c r="N102" s="204">
        <f>N101/K101-1</f>
        <v>2.294923587369091E-2</v>
      </c>
      <c r="O102" s="115">
        <f>O101/N101-1</f>
        <v>0.19999999999999996</v>
      </c>
      <c r="P102" s="115">
        <f>P101/O101-1</f>
        <v>0.19999999999999996</v>
      </c>
      <c r="Q102" s="115">
        <f>Q101/P101-1</f>
        <v>0.19999999999999996</v>
      </c>
      <c r="R102" s="115">
        <f>R101/Q101-1</f>
        <v>0.19999999999999996</v>
      </c>
      <c r="S102" s="115">
        <f>S101/R101-1</f>
        <v>0.19999999999999996</v>
      </c>
    </row>
    <row r="103" spans="2:19" hidden="1" outlineLevel="2" x14ac:dyDescent="0.2">
      <c r="B103" s="93"/>
      <c r="C103" s="93"/>
      <c r="D103" s="93"/>
      <c r="E103" s="99"/>
      <c r="F103" s="97"/>
      <c r="G103" s="219" t="s">
        <v>169</v>
      </c>
      <c r="H103" s="219"/>
      <c r="I103" s="158">
        <f>Dart_시장리서치!F$48</f>
        <v>1.5464369616288175E-2</v>
      </c>
      <c r="J103" s="158">
        <f>Dart_시장리서치!G$48</f>
        <v>2.4979377274565305E-2</v>
      </c>
      <c r="K103" s="158">
        <f>Dart_시장리서치!H$48</f>
        <v>2.2394446557626475E-2</v>
      </c>
      <c r="L103" s="211">
        <f>Dart_시장리서치!I$48</f>
        <v>2.309824046920821E-2</v>
      </c>
      <c r="M103" s="366">
        <f>L103</f>
        <v>2.309824046920821E-2</v>
      </c>
      <c r="N103" s="212">
        <f>M103</f>
        <v>2.309824046920821E-2</v>
      </c>
      <c r="O103" s="158">
        <f>Control!J47</f>
        <v>0.02</v>
      </c>
      <c r="P103" s="158">
        <f>Control!K47</f>
        <v>0.02</v>
      </c>
      <c r="Q103" s="158">
        <f>Control!L47</f>
        <v>0.02</v>
      </c>
      <c r="R103" s="158">
        <f>Control!M47</f>
        <v>0.02</v>
      </c>
      <c r="S103" s="158">
        <f>Control!N47</f>
        <v>0.02</v>
      </c>
    </row>
    <row r="104" spans="2:19" hidden="1" outlineLevel="1" x14ac:dyDescent="0.2">
      <c r="B104" s="93"/>
      <c r="C104" s="93"/>
      <c r="D104" s="94" t="s">
        <v>181</v>
      </c>
      <c r="E104" s="93"/>
      <c r="F104" s="93"/>
      <c r="G104" s="93"/>
      <c r="H104" s="93"/>
      <c r="I104" s="95">
        <f t="shared" ref="I104:S104" si="16">I108*I106/1000</f>
        <v>72956</v>
      </c>
      <c r="J104" s="95">
        <f t="shared" si="16"/>
        <v>97428.999999999985</v>
      </c>
      <c r="K104" s="95">
        <f t="shared" si="16"/>
        <v>98633.000000000015</v>
      </c>
      <c r="L104" s="205">
        <f t="shared" si="16"/>
        <v>54034</v>
      </c>
      <c r="M104" s="363">
        <f t="shared" si="16"/>
        <v>54034</v>
      </c>
      <c r="N104" s="206">
        <f t="shared" si="16"/>
        <v>108068</v>
      </c>
      <c r="O104" s="95">
        <f t="shared" si="16"/>
        <v>113409.86442201484</v>
      </c>
      <c r="P104" s="95">
        <f t="shared" si="16"/>
        <v>137452.75567948201</v>
      </c>
      <c r="Q104" s="95">
        <f t="shared" si="16"/>
        <v>166592.73988353217</v>
      </c>
      <c r="R104" s="95">
        <f t="shared" si="16"/>
        <v>201910.40073884104</v>
      </c>
      <c r="S104" s="95">
        <f t="shared" si="16"/>
        <v>244715.40569547532</v>
      </c>
    </row>
    <row r="105" spans="2:19" hidden="1" outlineLevel="1" x14ac:dyDescent="0.2">
      <c r="B105" s="93"/>
      <c r="C105" s="93"/>
      <c r="D105" s="94"/>
      <c r="E105" s="97" t="s">
        <v>161</v>
      </c>
      <c r="F105" s="97"/>
      <c r="G105" s="97"/>
      <c r="H105" s="97"/>
      <c r="I105" s="95"/>
      <c r="J105" s="115">
        <f>J104/(I104/9*12)-1</f>
        <v>1.5865727287678322E-3</v>
      </c>
      <c r="K105" s="115">
        <f>K104/J104-1</f>
        <v>1.2357716901538751E-2</v>
      </c>
      <c r="L105" s="203">
        <f>(L104*2)/K104-1</f>
        <v>9.5657639937951622E-2</v>
      </c>
      <c r="M105" s="362">
        <f>L105</f>
        <v>9.5657639937951622E-2</v>
      </c>
      <c r="N105" s="204">
        <f>N104/K104-1</f>
        <v>9.5657639937951622E-2</v>
      </c>
      <c r="O105" s="115">
        <f>O104/N104-1</f>
        <v>4.943058465054273E-2</v>
      </c>
      <c r="P105" s="115">
        <f>P104/O104-1</f>
        <v>0.21200000000000019</v>
      </c>
      <c r="Q105" s="115">
        <f>Q104/P104-1</f>
        <v>0.21199999999999974</v>
      </c>
      <c r="R105" s="115">
        <f>R104/Q104-1</f>
        <v>0.21200000000000041</v>
      </c>
      <c r="S105" s="115">
        <f>S104/R104-1</f>
        <v>0.21199999999999997</v>
      </c>
    </row>
    <row r="106" spans="2:19" hidden="1" outlineLevel="2" x14ac:dyDescent="0.2">
      <c r="B106" s="93"/>
      <c r="C106" s="93"/>
      <c r="D106" s="93"/>
      <c r="E106" s="99" t="s">
        <v>166</v>
      </c>
      <c r="F106" s="99"/>
      <c r="G106" s="99"/>
      <c r="H106" s="99"/>
      <c r="I106" s="98">
        <f>'Dart_중고차 Sales'!K50</f>
        <v>9498.3509620810582</v>
      </c>
      <c r="J106" s="98">
        <f>'Dart_중고차 Sales'!L50</f>
        <v>9143.7264668320895</v>
      </c>
      <c r="K106" s="98">
        <f>'Dart_중고차 Sales'!M50</f>
        <v>9483.5568923713909</v>
      </c>
      <c r="L106" s="207">
        <f>'Dart_중고차 Sales'!N50</f>
        <v>10706.722948614311</v>
      </c>
      <c r="M106" s="364">
        <f>L106</f>
        <v>10706.722948614311</v>
      </c>
      <c r="N106" s="208">
        <f>M106</f>
        <v>10706.722948614311</v>
      </c>
      <c r="O106" s="98">
        <f>(1+Control!J48)*N106</f>
        <v>10813.790178100455</v>
      </c>
      <c r="P106" s="98">
        <f>(1+Control!K48)*O106</f>
        <v>10921.92807988146</v>
      </c>
      <c r="Q106" s="98">
        <f>(1+Control!L48)*P106</f>
        <v>11031.147360680274</v>
      </c>
      <c r="R106" s="98">
        <f>(1+Control!M48)*Q106</f>
        <v>11141.458834287077</v>
      </c>
      <c r="S106" s="98">
        <f>(1+Control!N48)*R106</f>
        <v>11252.873422629948</v>
      </c>
    </row>
    <row r="107" spans="2:19" hidden="1" outlineLevel="2" x14ac:dyDescent="0.2">
      <c r="B107" s="93"/>
      <c r="C107" s="93"/>
      <c r="D107" s="93"/>
      <c r="E107" s="99"/>
      <c r="F107" s="97" t="s">
        <v>161</v>
      </c>
      <c r="G107" s="97"/>
      <c r="H107" s="97"/>
      <c r="I107" s="98"/>
      <c r="J107" s="115">
        <f>J106/(I106)-1</f>
        <v>-3.7335375020852268E-2</v>
      </c>
      <c r="K107" s="115">
        <f>K106/J106-1</f>
        <v>3.7165419019477453E-2</v>
      </c>
      <c r="L107" s="203">
        <f>(L106)/K106-1</f>
        <v>0.12897756296762863</v>
      </c>
      <c r="M107" s="362">
        <f>L107</f>
        <v>0.12897756296762863</v>
      </c>
      <c r="N107" s="204">
        <f>N106/K106-1</f>
        <v>0.12897756296762863</v>
      </c>
      <c r="O107" s="115">
        <f>O106/N106-1</f>
        <v>1.0000000000000009E-2</v>
      </c>
      <c r="P107" s="115">
        <f>P106/O106-1</f>
        <v>1.0000000000000009E-2</v>
      </c>
      <c r="Q107" s="115">
        <f>Q106/P106-1</f>
        <v>1.0000000000000009E-2</v>
      </c>
      <c r="R107" s="115">
        <f>R106/Q106-1</f>
        <v>1.0000000000000009E-2</v>
      </c>
      <c r="S107" s="115">
        <f>S106/R106-1</f>
        <v>1.0000000000000009E-2</v>
      </c>
    </row>
    <row r="108" spans="2:19" hidden="1" outlineLevel="2" x14ac:dyDescent="0.2">
      <c r="B108" s="93"/>
      <c r="C108" s="93"/>
      <c r="D108" s="93"/>
      <c r="E108" s="99" t="s">
        <v>167</v>
      </c>
      <c r="F108" s="99"/>
      <c r="G108" s="99"/>
      <c r="H108" s="99"/>
      <c r="I108" s="98">
        <f>'Dart_중고차 Sales'!K39</f>
        <v>7680.9122226849759</v>
      </c>
      <c r="J108" s="98">
        <f>'Dart_중고차 Sales'!L39</f>
        <v>10655.283746010282</v>
      </c>
      <c r="K108" s="98">
        <f>'Dart_중고차 Sales'!M39</f>
        <v>10400.422659913684</v>
      </c>
      <c r="L108" s="207">
        <f>'Dart_중고차 Sales'!N39</f>
        <v>5046.7356126921359</v>
      </c>
      <c r="M108" s="364">
        <f>L108</f>
        <v>5046.7356126921359</v>
      </c>
      <c r="N108" s="208">
        <f>L108+M108</f>
        <v>10093.471225384272</v>
      </c>
      <c r="O108" s="98">
        <f>O110*O112</f>
        <v>10487.522187335095</v>
      </c>
      <c r="P108" s="98">
        <f>P110*P112</f>
        <v>12585.026624802114</v>
      </c>
      <c r="Q108" s="98">
        <f>Q110*Q112</f>
        <v>15102.031949762537</v>
      </c>
      <c r="R108" s="98">
        <f>R110*R112</f>
        <v>18122.438339715045</v>
      </c>
      <c r="S108" s="98">
        <f>S110*S112</f>
        <v>21746.926007658054</v>
      </c>
    </row>
    <row r="109" spans="2:19" hidden="1" outlineLevel="2" x14ac:dyDescent="0.2">
      <c r="B109" s="93"/>
      <c r="C109" s="93"/>
      <c r="D109" s="93"/>
      <c r="E109" s="99"/>
      <c r="F109" s="97" t="s">
        <v>161</v>
      </c>
      <c r="G109" s="97"/>
      <c r="H109" s="97"/>
      <c r="I109" s="98"/>
      <c r="J109" s="115">
        <f>J108/(I108/9*12)-1</f>
        <v>4.0431471916258843E-2</v>
      </c>
      <c r="K109" s="115">
        <f>K108/J108-1</f>
        <v>-2.3918751688994377E-2</v>
      </c>
      <c r="L109" s="203">
        <f>(L108*2)/K108-1</f>
        <v>-2.9513361578322517E-2</v>
      </c>
      <c r="M109" s="362">
        <f>L109</f>
        <v>-2.9513361578322517E-2</v>
      </c>
      <c r="N109" s="204">
        <f>N108/K108-1</f>
        <v>-2.9513361578322517E-2</v>
      </c>
      <c r="O109" s="115">
        <f>O108/N108-1</f>
        <v>3.9040182822319469E-2</v>
      </c>
      <c r="P109" s="115">
        <f>P108/O108-1</f>
        <v>0.20000000000000018</v>
      </c>
      <c r="Q109" s="115">
        <f>Q108/P108-1</f>
        <v>0.19999999999999996</v>
      </c>
      <c r="R109" s="115">
        <f>R108/Q108-1</f>
        <v>0.19999999999999996</v>
      </c>
      <c r="S109" s="115">
        <f>S108/R108-1</f>
        <v>0.19999999999999996</v>
      </c>
    </row>
    <row r="110" spans="2:19" hidden="1" outlineLevel="2" x14ac:dyDescent="0.2">
      <c r="B110" s="93"/>
      <c r="C110" s="93"/>
      <c r="D110" s="93"/>
      <c r="E110" s="99"/>
      <c r="F110" s="97"/>
      <c r="G110" s="219" t="s">
        <v>168</v>
      </c>
      <c r="H110" s="219"/>
      <c r="I110" s="157">
        <f>I108/I112</f>
        <v>496684.46973712347</v>
      </c>
      <c r="J110" s="157">
        <f>J108/J112</f>
        <v>426563.22569177044</v>
      </c>
      <c r="K110" s="157">
        <f>K108/K112</f>
        <v>464419.72268217534</v>
      </c>
      <c r="L110" s="209">
        <f>L108/L112</f>
        <v>218490.04556948118</v>
      </c>
      <c r="M110" s="365">
        <f>M108/M112</f>
        <v>218490.04556948118</v>
      </c>
      <c r="N110" s="210">
        <f>L110+M110</f>
        <v>436980.09113896237</v>
      </c>
      <c r="O110" s="157">
        <f>(1+Control!J49)*N110</f>
        <v>524376.10936675477</v>
      </c>
      <c r="P110" s="157">
        <f>(1+Control!K49)*O110</f>
        <v>629251.33124010568</v>
      </c>
      <c r="Q110" s="157">
        <f>(1+Control!L49)*P110</f>
        <v>755101.59748812683</v>
      </c>
      <c r="R110" s="157">
        <f>(1+Control!M49)*Q110</f>
        <v>906121.91698575218</v>
      </c>
      <c r="S110" s="157">
        <f>(1+Control!N49)*R110</f>
        <v>1087346.3003829026</v>
      </c>
    </row>
    <row r="111" spans="2:19" hidden="1" outlineLevel="2" x14ac:dyDescent="0.2">
      <c r="B111" s="93"/>
      <c r="C111" s="93"/>
      <c r="D111" s="93"/>
      <c r="E111" s="99"/>
      <c r="F111" s="97"/>
      <c r="G111" s="97"/>
      <c r="H111" s="97" t="s">
        <v>161</v>
      </c>
      <c r="I111" s="98"/>
      <c r="J111" s="115">
        <f>J110/I110-1</f>
        <v>-0.1411786522789118</v>
      </c>
      <c r="K111" s="115">
        <f>K110/J110-1</f>
        <v>8.8747680789903693E-2</v>
      </c>
      <c r="L111" s="203">
        <f>(L110*2)/K110-1</f>
        <v>-5.9083691331496824E-2</v>
      </c>
      <c r="M111" s="362">
        <f>L111</f>
        <v>-5.9083691331496824E-2</v>
      </c>
      <c r="N111" s="204">
        <f>N110/K110-1</f>
        <v>-5.9083691331496824E-2</v>
      </c>
      <c r="O111" s="115">
        <f>O110/N110-1</f>
        <v>0.19999999999999973</v>
      </c>
      <c r="P111" s="115">
        <f>P110/O110-1</f>
        <v>0.19999999999999996</v>
      </c>
      <c r="Q111" s="115">
        <f>Q110/P110-1</f>
        <v>0.19999999999999996</v>
      </c>
      <c r="R111" s="115">
        <f>R110/Q110-1</f>
        <v>0.19999999999999996</v>
      </c>
      <c r="S111" s="115">
        <f>S110/R110-1</f>
        <v>0.19999999999999996</v>
      </c>
    </row>
    <row r="112" spans="2:19" hidden="1" outlineLevel="2" x14ac:dyDescent="0.2">
      <c r="B112" s="93"/>
      <c r="C112" s="93"/>
      <c r="D112" s="93"/>
      <c r="E112" s="99"/>
      <c r="F112" s="97"/>
      <c r="G112" s="219" t="s">
        <v>169</v>
      </c>
      <c r="H112" s="219"/>
      <c r="I112" s="158">
        <f>Dart_시장리서치!F$48</f>
        <v>1.5464369616288175E-2</v>
      </c>
      <c r="J112" s="158">
        <f>Dart_시장리서치!G$48</f>
        <v>2.4979377274565305E-2</v>
      </c>
      <c r="K112" s="158">
        <f>Dart_시장리서치!H$48</f>
        <v>2.2394446557626475E-2</v>
      </c>
      <c r="L112" s="211">
        <f>Dart_시장리서치!I$48</f>
        <v>2.309824046920821E-2</v>
      </c>
      <c r="M112" s="366">
        <f>L112</f>
        <v>2.309824046920821E-2</v>
      </c>
      <c r="N112" s="212">
        <f>M112</f>
        <v>2.309824046920821E-2</v>
      </c>
      <c r="O112" s="158">
        <f>Control!J50</f>
        <v>0.02</v>
      </c>
      <c r="P112" s="158">
        <f>Control!K50</f>
        <v>0.02</v>
      </c>
      <c r="Q112" s="158">
        <f>Control!L50</f>
        <v>0.02</v>
      </c>
      <c r="R112" s="158">
        <f>Control!M50</f>
        <v>0.02</v>
      </c>
      <c r="S112" s="158">
        <f>Control!N50</f>
        <v>0.02</v>
      </c>
    </row>
    <row r="113" spans="2:19" hidden="1" outlineLevel="1" x14ac:dyDescent="0.2">
      <c r="B113" s="93"/>
      <c r="C113" s="93"/>
      <c r="D113" s="94" t="s">
        <v>182</v>
      </c>
      <c r="E113" s="93"/>
      <c r="F113" s="93"/>
      <c r="G113" s="93"/>
      <c r="H113" s="93"/>
      <c r="I113" s="95">
        <f t="shared" ref="I113:S113" si="17">I117*I115/1000</f>
        <v>13169</v>
      </c>
      <c r="J113" s="95">
        <f t="shared" si="17"/>
        <v>17650</v>
      </c>
      <c r="K113" s="95">
        <f t="shared" si="17"/>
        <v>18943</v>
      </c>
      <c r="L113" s="205">
        <f t="shared" si="17"/>
        <v>9348</v>
      </c>
      <c r="M113" s="363">
        <f t="shared" si="17"/>
        <v>9348</v>
      </c>
      <c r="N113" s="206">
        <f t="shared" si="17"/>
        <v>18696</v>
      </c>
      <c r="O113" s="95">
        <f t="shared" si="17"/>
        <v>19620.154210626548</v>
      </c>
      <c r="P113" s="95">
        <f t="shared" si="17"/>
        <v>23779.626903279379</v>
      </c>
      <c r="Q113" s="95">
        <f t="shared" si="17"/>
        <v>28820.907806774605</v>
      </c>
      <c r="R113" s="95">
        <f t="shared" si="17"/>
        <v>34930.940261810814</v>
      </c>
      <c r="S113" s="95">
        <f t="shared" si="17"/>
        <v>42336.299597314719</v>
      </c>
    </row>
    <row r="114" spans="2:19" hidden="1" outlineLevel="1" x14ac:dyDescent="0.2">
      <c r="B114" s="93"/>
      <c r="C114" s="93"/>
      <c r="D114" s="94"/>
      <c r="E114" s="97" t="s">
        <v>161</v>
      </c>
      <c r="F114" s="97"/>
      <c r="G114" s="97"/>
      <c r="H114" s="97"/>
      <c r="I114" s="95"/>
      <c r="J114" s="115">
        <f>J113/(I113/9*12)-1</f>
        <v>5.2016098412941414E-3</v>
      </c>
      <c r="K114" s="115">
        <f>K113/J113-1</f>
        <v>7.3257790368271847E-2</v>
      </c>
      <c r="L114" s="203">
        <f>(L113*2)/K113-1</f>
        <v>-1.3039117352056206E-2</v>
      </c>
      <c r="M114" s="362">
        <f>L114</f>
        <v>-1.3039117352056206E-2</v>
      </c>
      <c r="N114" s="204">
        <f>N113/K113-1</f>
        <v>-1.3039117352056206E-2</v>
      </c>
      <c r="O114" s="115">
        <f>O113/N113-1</f>
        <v>4.943058465054273E-2</v>
      </c>
      <c r="P114" s="115">
        <f>P113/O113-1</f>
        <v>0.21200000000000019</v>
      </c>
      <c r="Q114" s="115">
        <f>Q113/P113-1</f>
        <v>0.21199999999999997</v>
      </c>
      <c r="R114" s="115">
        <f>R113/Q113-1</f>
        <v>0.21199999999999974</v>
      </c>
      <c r="S114" s="115">
        <f>S113/R113-1</f>
        <v>0.21200000000000041</v>
      </c>
    </row>
    <row r="115" spans="2:19" hidden="1" outlineLevel="2" x14ac:dyDescent="0.2">
      <c r="B115" s="93"/>
      <c r="C115" s="93"/>
      <c r="D115" s="93"/>
      <c r="E115" s="99" t="s">
        <v>166</v>
      </c>
      <c r="F115" s="99"/>
      <c r="G115" s="99"/>
      <c r="H115" s="99"/>
      <c r="I115" s="98">
        <f>'Dart_중고차 Sales'!K51</f>
        <v>10249.558299514481</v>
      </c>
      <c r="J115" s="98">
        <f>'Dart_중고차 Sales'!L51</f>
        <v>10022.526259863514</v>
      </c>
      <c r="K115" s="98">
        <f>'Dart_중고차 Sales'!M51</f>
        <v>10859.425305010667</v>
      </c>
      <c r="L115" s="207">
        <f>'Dart_중고차 Sales'!N51</f>
        <v>10708.769340615194</v>
      </c>
      <c r="M115" s="364">
        <f>L115</f>
        <v>10708.769340615194</v>
      </c>
      <c r="N115" s="208">
        <f>M115</f>
        <v>10708.769340615194</v>
      </c>
      <c r="O115" s="98">
        <f>(1+Control!J51)*N115</f>
        <v>10815.857034021346</v>
      </c>
      <c r="P115" s="98">
        <f>(1+Control!K51)*O115</f>
        <v>10924.015604361561</v>
      </c>
      <c r="Q115" s="98">
        <f>(1+Control!L51)*P115</f>
        <v>11033.255760405176</v>
      </c>
      <c r="R115" s="98">
        <f>(1+Control!M51)*Q115</f>
        <v>11143.588318009228</v>
      </c>
      <c r="S115" s="98">
        <f>(1+Control!N51)*R115</f>
        <v>11255.024201189321</v>
      </c>
    </row>
    <row r="116" spans="2:19" hidden="1" outlineLevel="2" x14ac:dyDescent="0.2">
      <c r="B116" s="93"/>
      <c r="C116" s="93"/>
      <c r="D116" s="93"/>
      <c r="E116" s="99"/>
      <c r="F116" s="97" t="s">
        <v>161</v>
      </c>
      <c r="G116" s="97"/>
      <c r="H116" s="97"/>
      <c r="I116" s="98"/>
      <c r="J116" s="115">
        <f>J115/(I115)-1</f>
        <v>-2.2150421805173903E-2</v>
      </c>
      <c r="K116" s="115">
        <f>K115/J115-1</f>
        <v>8.3501806176215387E-2</v>
      </c>
      <c r="L116" s="203">
        <f>(L115)/K115-1</f>
        <v>-1.3873290728005583E-2</v>
      </c>
      <c r="M116" s="362">
        <f>L116</f>
        <v>-1.3873290728005583E-2</v>
      </c>
      <c r="N116" s="204">
        <f>N115/K115-1</f>
        <v>-1.3873290728005583E-2</v>
      </c>
      <c r="O116" s="115">
        <f>O115/N115-1</f>
        <v>1.0000000000000009E-2</v>
      </c>
      <c r="P116" s="115">
        <f>P115/O115-1</f>
        <v>1.0000000000000009E-2</v>
      </c>
      <c r="Q116" s="115">
        <f>Q115/P115-1</f>
        <v>1.0000000000000009E-2</v>
      </c>
      <c r="R116" s="115">
        <f>R115/Q115-1</f>
        <v>1.0000000000000009E-2</v>
      </c>
      <c r="S116" s="115">
        <f>S115/R115-1</f>
        <v>1.0000000000000009E-2</v>
      </c>
    </row>
    <row r="117" spans="2:19" hidden="1" outlineLevel="2" x14ac:dyDescent="0.2">
      <c r="B117" s="93"/>
      <c r="C117" s="93"/>
      <c r="D117" s="93"/>
      <c r="E117" s="99" t="s">
        <v>167</v>
      </c>
      <c r="F117" s="99"/>
      <c r="G117" s="99"/>
      <c r="H117" s="99"/>
      <c r="I117" s="98">
        <f>'Dart_중고차 Sales'!K40</f>
        <v>1284.8358548898455</v>
      </c>
      <c r="J117" s="98">
        <f>'Dart_중고차 Sales'!L40</f>
        <v>1761.0330511860745</v>
      </c>
      <c r="K117" s="98">
        <f>'Dart_중고차 Sales'!M40</f>
        <v>1744.3832862186064</v>
      </c>
      <c r="L117" s="207">
        <f>'Dart_중고차 Sales'!N40</f>
        <v>872.92943779690927</v>
      </c>
      <c r="M117" s="364">
        <f>L117</f>
        <v>872.92943779690927</v>
      </c>
      <c r="N117" s="208">
        <f>L117+M117</f>
        <v>1745.8588755938185</v>
      </c>
      <c r="O117" s="98">
        <f>O119*O121</f>
        <v>1814.0175252789704</v>
      </c>
      <c r="P117" s="98">
        <f>P119*P121</f>
        <v>2176.8210303347646</v>
      </c>
      <c r="Q117" s="98">
        <f>Q119*Q121</f>
        <v>2612.1852364017172</v>
      </c>
      <c r="R117" s="98">
        <f>R119*R121</f>
        <v>3134.6222836820607</v>
      </c>
      <c r="S117" s="98">
        <f>S119*S121</f>
        <v>3761.5467404184728</v>
      </c>
    </row>
    <row r="118" spans="2:19" hidden="1" outlineLevel="2" x14ac:dyDescent="0.2">
      <c r="B118" s="93"/>
      <c r="C118" s="93"/>
      <c r="D118" s="93"/>
      <c r="E118" s="99"/>
      <c r="F118" s="97" t="s">
        <v>161</v>
      </c>
      <c r="G118" s="97"/>
      <c r="H118" s="97"/>
      <c r="I118" s="98"/>
      <c r="J118" s="115">
        <f>J117/(I117/9*12)-1</f>
        <v>2.7971614710885939E-2</v>
      </c>
      <c r="K118" s="115">
        <f>K117/J117-1</f>
        <v>-9.4545442836829752E-3</v>
      </c>
      <c r="L118" s="203">
        <f>(L117*2)/K117-1</f>
        <v>8.4590891627422948E-4</v>
      </c>
      <c r="M118" s="362">
        <f>L118</f>
        <v>8.4590891627422948E-4</v>
      </c>
      <c r="N118" s="204">
        <f>N117/K117-1</f>
        <v>8.4590891627422948E-4</v>
      </c>
      <c r="O118" s="115">
        <f>O117/N117-1</f>
        <v>3.9040182822319469E-2</v>
      </c>
      <c r="P118" s="115">
        <f>P117/O117-1</f>
        <v>0.19999999999999996</v>
      </c>
      <c r="Q118" s="115">
        <f>Q117/P117-1</f>
        <v>0.19999999999999996</v>
      </c>
      <c r="R118" s="115">
        <f>R117/Q117-1</f>
        <v>0.19999999999999996</v>
      </c>
      <c r="S118" s="115">
        <f>S117/R117-1</f>
        <v>0.19999999999999996</v>
      </c>
    </row>
    <row r="119" spans="2:19" hidden="1" outlineLevel="2" x14ac:dyDescent="0.2">
      <c r="B119" s="93"/>
      <c r="C119" s="93"/>
      <c r="D119" s="93"/>
      <c r="E119" s="99"/>
      <c r="F119" s="97"/>
      <c r="G119" s="219" t="s">
        <v>168</v>
      </c>
      <c r="H119" s="219"/>
      <c r="I119" s="157">
        <f>I117/I121</f>
        <v>83083.622984319052</v>
      </c>
      <c r="J119" s="157">
        <f>J117/J121</f>
        <v>70499.477702320757</v>
      </c>
      <c r="K119" s="157">
        <f>K117/K121</f>
        <v>77893.565341294539</v>
      </c>
      <c r="L119" s="209">
        <f>L117/L121</f>
        <v>37792.031776645221</v>
      </c>
      <c r="M119" s="365">
        <f>M117/M121</f>
        <v>37792.031776645221</v>
      </c>
      <c r="N119" s="210">
        <f>L119+M119</f>
        <v>75584.063553290442</v>
      </c>
      <c r="O119" s="157">
        <f>(1+Control!J52)*N119</f>
        <v>90700.876263948521</v>
      </c>
      <c r="P119" s="157">
        <f>(1+Control!K52)*O119</f>
        <v>108841.05151673823</v>
      </c>
      <c r="Q119" s="157">
        <f>(1+Control!L52)*P119</f>
        <v>130609.26182008587</v>
      </c>
      <c r="R119" s="157">
        <f>(1+Control!M52)*Q119</f>
        <v>156731.11418410303</v>
      </c>
      <c r="S119" s="157">
        <f>(1+Control!N52)*R119</f>
        <v>188077.33702092365</v>
      </c>
    </row>
    <row r="120" spans="2:19" hidden="1" outlineLevel="2" x14ac:dyDescent="0.2">
      <c r="B120" s="93"/>
      <c r="C120" s="93"/>
      <c r="D120" s="93"/>
      <c r="E120" s="99"/>
      <c r="F120" s="97"/>
      <c r="G120" s="97"/>
      <c r="H120" s="97" t="s">
        <v>161</v>
      </c>
      <c r="I120" s="98"/>
      <c r="J120" s="115">
        <f>J119/I119-1</f>
        <v>-0.15146360774822476</v>
      </c>
      <c r="K120" s="115">
        <f>K119/J119-1</f>
        <v>0.10488145274203053</v>
      </c>
      <c r="L120" s="203">
        <f>(L119*2)/K119-1</f>
        <v>-2.9649455354686882E-2</v>
      </c>
      <c r="M120" s="362">
        <f>L120</f>
        <v>-2.9649455354686882E-2</v>
      </c>
      <c r="N120" s="204">
        <f>N119/K119-1</f>
        <v>-2.9649455354686882E-2</v>
      </c>
      <c r="O120" s="115">
        <f>O119/N119-1</f>
        <v>0.19999999999999996</v>
      </c>
      <c r="P120" s="115">
        <f>P119/O119-1</f>
        <v>0.19999999999999996</v>
      </c>
      <c r="Q120" s="115">
        <f>Q119/P119-1</f>
        <v>0.19999999999999996</v>
      </c>
      <c r="R120" s="115">
        <f>R119/Q119-1</f>
        <v>0.19999999999999996</v>
      </c>
      <c r="S120" s="115">
        <f>S119/R119-1</f>
        <v>0.19999999999999996</v>
      </c>
    </row>
    <row r="121" spans="2:19" hidden="1" outlineLevel="2" x14ac:dyDescent="0.2">
      <c r="B121" s="93"/>
      <c r="C121" s="93"/>
      <c r="D121" s="93"/>
      <c r="E121" s="99"/>
      <c r="F121" s="97"/>
      <c r="G121" s="219" t="s">
        <v>169</v>
      </c>
      <c r="H121" s="219"/>
      <c r="I121" s="158">
        <f>Dart_시장리서치!F$48</f>
        <v>1.5464369616288175E-2</v>
      </c>
      <c r="J121" s="158">
        <f>Dart_시장리서치!G$48</f>
        <v>2.4979377274565305E-2</v>
      </c>
      <c r="K121" s="158">
        <f>Dart_시장리서치!H$48</f>
        <v>2.2394446557626475E-2</v>
      </c>
      <c r="L121" s="211">
        <f>Dart_시장리서치!I$48</f>
        <v>2.309824046920821E-2</v>
      </c>
      <c r="M121" s="366">
        <f>L121</f>
        <v>2.309824046920821E-2</v>
      </c>
      <c r="N121" s="212">
        <f>M121</f>
        <v>2.309824046920821E-2</v>
      </c>
      <c r="O121" s="158">
        <f>Control!J53</f>
        <v>0.02</v>
      </c>
      <c r="P121" s="158">
        <f>Control!K53</f>
        <v>0.02</v>
      </c>
      <c r="Q121" s="158">
        <f>Control!L53</f>
        <v>0.02</v>
      </c>
      <c r="R121" s="158">
        <f>Control!M53</f>
        <v>0.02</v>
      </c>
      <c r="S121" s="158">
        <f>Control!N53</f>
        <v>0.02</v>
      </c>
    </row>
    <row r="122" spans="2:19" hidden="1" outlineLevel="1" x14ac:dyDescent="0.2">
      <c r="B122" s="93"/>
      <c r="C122" s="93"/>
      <c r="D122" s="94" t="s">
        <v>183</v>
      </c>
      <c r="E122" s="93"/>
      <c r="F122" s="93"/>
      <c r="G122" s="93"/>
      <c r="H122" s="93"/>
      <c r="I122" s="95">
        <f t="shared" ref="I122:S122" si="18">I126*I124/1000</f>
        <v>5474</v>
      </c>
      <c r="J122" s="95">
        <f t="shared" si="18"/>
        <v>8759</v>
      </c>
      <c r="K122" s="95">
        <f t="shared" si="18"/>
        <v>6911</v>
      </c>
      <c r="L122" s="205">
        <f t="shared" si="18"/>
        <v>2924</v>
      </c>
      <c r="M122" s="363">
        <f t="shared" si="18"/>
        <v>2924</v>
      </c>
      <c r="N122" s="206">
        <f t="shared" si="18"/>
        <v>5848</v>
      </c>
      <c r="O122" s="95">
        <f t="shared" si="18"/>
        <v>6137.070059036374</v>
      </c>
      <c r="P122" s="95">
        <f t="shared" si="18"/>
        <v>7438.1289115520858</v>
      </c>
      <c r="Q122" s="95">
        <f t="shared" si="18"/>
        <v>9015.0122408011266</v>
      </c>
      <c r="R122" s="95">
        <f t="shared" si="18"/>
        <v>10926.194835850965</v>
      </c>
      <c r="S122" s="95">
        <f t="shared" si="18"/>
        <v>13242.548141051369</v>
      </c>
    </row>
    <row r="123" spans="2:19" hidden="1" outlineLevel="1" x14ac:dyDescent="0.2">
      <c r="B123" s="93"/>
      <c r="C123" s="93"/>
      <c r="D123" s="94"/>
      <c r="E123" s="97" t="s">
        <v>161</v>
      </c>
      <c r="F123" s="97"/>
      <c r="G123" s="97"/>
      <c r="H123" s="97"/>
      <c r="I123" s="95"/>
      <c r="J123" s="115">
        <f>J122/(I122/9*12)-1</f>
        <v>0.20008220679576194</v>
      </c>
      <c r="K123" s="115">
        <f>K122/J122-1</f>
        <v>-0.21098298892567646</v>
      </c>
      <c r="L123" s="203">
        <f>(L122*2)/K122-1</f>
        <v>-0.15381276226305884</v>
      </c>
      <c r="M123" s="362">
        <f>L123</f>
        <v>-0.15381276226305884</v>
      </c>
      <c r="N123" s="204">
        <f>N122/K122-1</f>
        <v>-0.15381276226305884</v>
      </c>
      <c r="O123" s="115">
        <f>O122/N122-1</f>
        <v>4.943058465054273E-2</v>
      </c>
      <c r="P123" s="115">
        <f>P122/O122-1</f>
        <v>0.21200000000000019</v>
      </c>
      <c r="Q123" s="115">
        <f>Q122/P122-1</f>
        <v>0.21199999999999974</v>
      </c>
      <c r="R123" s="115">
        <f>R122/Q122-1</f>
        <v>0.21199999999999997</v>
      </c>
      <c r="S123" s="115">
        <f>S122/R122-1</f>
        <v>0.21199999999999997</v>
      </c>
    </row>
    <row r="124" spans="2:19" hidden="1" outlineLevel="2" x14ac:dyDescent="0.2">
      <c r="B124" s="93"/>
      <c r="C124" s="93"/>
      <c r="D124" s="93"/>
      <c r="E124" s="99" t="s">
        <v>166</v>
      </c>
      <c r="F124" s="99"/>
      <c r="G124" s="99"/>
      <c r="H124" s="99"/>
      <c r="I124" s="98">
        <f>'Dart_중고차 Sales'!K52</f>
        <v>9990.3460247573457</v>
      </c>
      <c r="J124" s="98">
        <f>'Dart_중고차 Sales'!L52</f>
        <v>9956.3908136376594</v>
      </c>
      <c r="K124" s="98">
        <f>'Dart_중고차 Sales'!M52</f>
        <v>10539.292537956015</v>
      </c>
      <c r="L124" s="207">
        <f>'Dart_중고차 Sales'!N52</f>
        <v>13153.18458566867</v>
      </c>
      <c r="M124" s="364">
        <f>L124</f>
        <v>13153.18458566867</v>
      </c>
      <c r="N124" s="208">
        <f>M124</f>
        <v>13153.18458566867</v>
      </c>
      <c r="O124" s="98">
        <f>(1+Control!J54)*N124</f>
        <v>13284.716431525358</v>
      </c>
      <c r="P124" s="98">
        <f>(1+Control!K54)*O124</f>
        <v>13417.563595840611</v>
      </c>
      <c r="Q124" s="98">
        <f>(1+Control!L54)*P124</f>
        <v>13551.739231799018</v>
      </c>
      <c r="R124" s="98">
        <f>(1+Control!M54)*Q124</f>
        <v>13687.256624117008</v>
      </c>
      <c r="S124" s="98">
        <f>(1+Control!N54)*R124</f>
        <v>13824.129190358179</v>
      </c>
    </row>
    <row r="125" spans="2:19" hidden="1" outlineLevel="2" x14ac:dyDescent="0.2">
      <c r="B125" s="93"/>
      <c r="C125" s="93"/>
      <c r="D125" s="93"/>
      <c r="E125" s="99"/>
      <c r="F125" s="97" t="s">
        <v>161</v>
      </c>
      <c r="G125" s="97"/>
      <c r="H125" s="97"/>
      <c r="I125" s="98"/>
      <c r="J125" s="115">
        <f>J124/(I124)-1</f>
        <v>-3.3988023073016072E-3</v>
      </c>
      <c r="K125" s="115">
        <f>K124/J124-1</f>
        <v>5.8545484526373981E-2</v>
      </c>
      <c r="L125" s="203">
        <f>(L124)/K124-1</f>
        <v>0.24801399508544164</v>
      </c>
      <c r="M125" s="362">
        <f>L125</f>
        <v>0.24801399508544164</v>
      </c>
      <c r="N125" s="204">
        <f>N124/K124-1</f>
        <v>0.24801399508544164</v>
      </c>
      <c r="O125" s="115">
        <f>O124/N124-1</f>
        <v>1.0000000000000009E-2</v>
      </c>
      <c r="P125" s="115">
        <f>P124/O124-1</f>
        <v>1.0000000000000009E-2</v>
      </c>
      <c r="Q125" s="115">
        <f>Q124/P124-1</f>
        <v>1.0000000000000009E-2</v>
      </c>
      <c r="R125" s="115">
        <f>R124/Q124-1</f>
        <v>1.0000000000000009E-2</v>
      </c>
      <c r="S125" s="115">
        <f>S124/R124-1</f>
        <v>1.0000000000000009E-2</v>
      </c>
    </row>
    <row r="126" spans="2:19" hidden="1" outlineLevel="2" x14ac:dyDescent="0.2">
      <c r="B126" s="93"/>
      <c r="C126" s="93"/>
      <c r="D126" s="93"/>
      <c r="E126" s="99" t="s">
        <v>167</v>
      </c>
      <c r="F126" s="99"/>
      <c r="G126" s="99"/>
      <c r="H126" s="99"/>
      <c r="I126" s="98">
        <f>'Dart_중고차 Sales'!K41</f>
        <v>547.92896927040692</v>
      </c>
      <c r="J126" s="98">
        <f>'Dart_중고차 Sales'!L41</f>
        <v>879.73645911954907</v>
      </c>
      <c r="K126" s="98">
        <f>'Dart_중고차 Sales'!M41</f>
        <v>655.73661373482628</v>
      </c>
      <c r="L126" s="207">
        <f>'Dart_중고차 Sales'!N41</f>
        <v>222.30357834298971</v>
      </c>
      <c r="M126" s="364">
        <f>L126</f>
        <v>222.30357834298971</v>
      </c>
      <c r="N126" s="208">
        <f>L126+M126</f>
        <v>444.60715668597942</v>
      </c>
      <c r="O126" s="98">
        <f>O128*O130</f>
        <v>461.96470136711173</v>
      </c>
      <c r="P126" s="98">
        <f>P128*P130</f>
        <v>554.3576416405341</v>
      </c>
      <c r="Q126" s="98">
        <f>Q128*Q130</f>
        <v>665.2291699686408</v>
      </c>
      <c r="R126" s="98">
        <f>R128*R130</f>
        <v>798.27500396236894</v>
      </c>
      <c r="S126" s="98">
        <f>S128*S130</f>
        <v>957.93000475484268</v>
      </c>
    </row>
    <row r="127" spans="2:19" hidden="1" outlineLevel="2" x14ac:dyDescent="0.2">
      <c r="B127" s="93"/>
      <c r="C127" s="93"/>
      <c r="D127" s="93"/>
      <c r="E127" s="99"/>
      <c r="F127" s="97" t="s">
        <v>161</v>
      </c>
      <c r="G127" s="97"/>
      <c r="H127" s="97"/>
      <c r="I127" s="98"/>
      <c r="J127" s="115">
        <f>J126/(I126/9*12)-1</f>
        <v>0.20417495942625474</v>
      </c>
      <c r="K127" s="115">
        <f>K126/J126-1</f>
        <v>-0.25462153246314756</v>
      </c>
      <c r="L127" s="203">
        <f>(L126*2)/K126-1</f>
        <v>-0.32197295778000534</v>
      </c>
      <c r="M127" s="362">
        <f>L127</f>
        <v>-0.32197295778000534</v>
      </c>
      <c r="N127" s="204">
        <f>N126/K126-1</f>
        <v>-0.32197295778000534</v>
      </c>
      <c r="O127" s="115">
        <f>O126/N126-1</f>
        <v>3.9040182822319469E-2</v>
      </c>
      <c r="P127" s="115">
        <f>P126/O126-1</f>
        <v>0.19999999999999996</v>
      </c>
      <c r="Q127" s="115">
        <f>Q126/P126-1</f>
        <v>0.19999999999999973</v>
      </c>
      <c r="R127" s="115">
        <f>R126/Q126-1</f>
        <v>0.19999999999999996</v>
      </c>
      <c r="S127" s="115">
        <f>S126/R126-1</f>
        <v>0.19999999999999996</v>
      </c>
    </row>
    <row r="128" spans="2:19" hidden="1" outlineLevel="2" x14ac:dyDescent="0.2">
      <c r="B128" s="93"/>
      <c r="C128" s="93"/>
      <c r="D128" s="93"/>
      <c r="E128" s="99"/>
      <c r="F128" s="97"/>
      <c r="G128" s="219" t="s">
        <v>168</v>
      </c>
      <c r="H128" s="219"/>
      <c r="I128" s="157">
        <f>I126/I130</f>
        <v>35431.704160335714</v>
      </c>
      <c r="J128" s="157">
        <f>J126/J130</f>
        <v>35218.51043161597</v>
      </c>
      <c r="K128" s="157">
        <f>K126/K130</f>
        <v>29281.215414163198</v>
      </c>
      <c r="L128" s="209">
        <f>L126/L130</f>
        <v>9624.2646118148277</v>
      </c>
      <c r="M128" s="365">
        <f>M126/M130</f>
        <v>9624.2646118148277</v>
      </c>
      <c r="N128" s="210">
        <f>L128+M128</f>
        <v>19248.529223629655</v>
      </c>
      <c r="O128" s="157">
        <f>(1+Control!J55)*N128</f>
        <v>23098.235068355585</v>
      </c>
      <c r="P128" s="157">
        <f>(1+Control!K55)*O128</f>
        <v>27717.882082026703</v>
      </c>
      <c r="Q128" s="157">
        <f>(1+Control!L55)*P128</f>
        <v>33261.458498432039</v>
      </c>
      <c r="R128" s="157">
        <f>(1+Control!M55)*Q128</f>
        <v>39913.750198118447</v>
      </c>
      <c r="S128" s="157">
        <f>(1+Control!N55)*R128</f>
        <v>47896.500237742133</v>
      </c>
    </row>
    <row r="129" spans="2:19" hidden="1" outlineLevel="2" x14ac:dyDescent="0.2">
      <c r="B129" s="93"/>
      <c r="C129" s="93"/>
      <c r="D129" s="93"/>
      <c r="E129" s="99"/>
      <c r="F129" s="97"/>
      <c r="G129" s="97"/>
      <c r="H129" s="97" t="s">
        <v>161</v>
      </c>
      <c r="I129" s="98"/>
      <c r="J129" s="115">
        <f>J128/I128-1</f>
        <v>-6.017032874145678E-3</v>
      </c>
      <c r="K129" s="115">
        <f>K128/J128-1</f>
        <v>-0.16858450129460356</v>
      </c>
      <c r="L129" s="203">
        <f>(L128*2)/K128-1</f>
        <v>-0.34263216361165039</v>
      </c>
      <c r="M129" s="362">
        <f>L129</f>
        <v>-0.34263216361165039</v>
      </c>
      <c r="N129" s="204">
        <f>N128/K128-1</f>
        <v>-0.34263216361165039</v>
      </c>
      <c r="O129" s="115">
        <f>O128/N128-1</f>
        <v>0.19999999999999996</v>
      </c>
      <c r="P129" s="115">
        <f>P128/O128-1</f>
        <v>0.19999999999999996</v>
      </c>
      <c r="Q129" s="115">
        <f>Q128/P128-1</f>
        <v>0.19999999999999973</v>
      </c>
      <c r="R129" s="115">
        <f>R128/Q128-1</f>
        <v>0.19999999999999996</v>
      </c>
      <c r="S129" s="115">
        <f>S128/R128-1</f>
        <v>0.19999999999999996</v>
      </c>
    </row>
    <row r="130" spans="2:19" hidden="1" outlineLevel="2" x14ac:dyDescent="0.2">
      <c r="B130" s="93"/>
      <c r="C130" s="93"/>
      <c r="D130" s="93"/>
      <c r="E130" s="99"/>
      <c r="F130" s="97"/>
      <c r="G130" s="219" t="s">
        <v>169</v>
      </c>
      <c r="H130" s="219"/>
      <c r="I130" s="158">
        <f>Dart_시장리서치!F$48</f>
        <v>1.5464369616288175E-2</v>
      </c>
      <c r="J130" s="158">
        <f>Dart_시장리서치!G$48</f>
        <v>2.4979377274565305E-2</v>
      </c>
      <c r="K130" s="158">
        <f>Dart_시장리서치!H$48</f>
        <v>2.2394446557626475E-2</v>
      </c>
      <c r="L130" s="211">
        <f>Dart_시장리서치!I$48</f>
        <v>2.309824046920821E-2</v>
      </c>
      <c r="M130" s="366">
        <f>L130</f>
        <v>2.309824046920821E-2</v>
      </c>
      <c r="N130" s="212">
        <f>M130</f>
        <v>2.309824046920821E-2</v>
      </c>
      <c r="O130" s="158">
        <f>Control!J56</f>
        <v>0.02</v>
      </c>
      <c r="P130" s="158">
        <f>Control!K56</f>
        <v>0.02</v>
      </c>
      <c r="Q130" s="158">
        <f>Control!L56</f>
        <v>0.02</v>
      </c>
      <c r="R130" s="158">
        <f>Control!M56</f>
        <v>0.02</v>
      </c>
      <c r="S130" s="158">
        <f>Control!N56</f>
        <v>0.02</v>
      </c>
    </row>
    <row r="131" spans="2:19" hidden="1" outlineLevel="1" x14ac:dyDescent="0.2">
      <c r="B131" s="93"/>
      <c r="C131" s="93"/>
      <c r="D131" s="94" t="s">
        <v>184</v>
      </c>
      <c r="E131" s="93"/>
      <c r="F131" s="93"/>
      <c r="G131" s="93"/>
      <c r="H131" s="93"/>
      <c r="I131" s="95">
        <f t="shared" ref="I131:S131" si="19">I135*I133/1000</f>
        <v>74163</v>
      </c>
      <c r="J131" s="95">
        <f t="shared" si="19"/>
        <v>117446.99999999999</v>
      </c>
      <c r="K131" s="95">
        <f t="shared" si="19"/>
        <v>109564</v>
      </c>
      <c r="L131" s="205">
        <f t="shared" si="19"/>
        <v>68313.999999999985</v>
      </c>
      <c r="M131" s="363">
        <f t="shared" si="19"/>
        <v>68313.999999999985</v>
      </c>
      <c r="N131" s="206">
        <f t="shared" si="19"/>
        <v>136627.99999999997</v>
      </c>
      <c r="O131" s="95">
        <f t="shared" si="19"/>
        <v>143381.60191963438</v>
      </c>
      <c r="P131" s="95">
        <f t="shared" si="19"/>
        <v>173778.50152659684</v>
      </c>
      <c r="Q131" s="95">
        <f t="shared" si="19"/>
        <v>210619.54385023538</v>
      </c>
      <c r="R131" s="95">
        <f t="shared" si="19"/>
        <v>255270.8871464853</v>
      </c>
      <c r="S131" s="95">
        <f t="shared" si="19"/>
        <v>309388.31522154011</v>
      </c>
    </row>
    <row r="132" spans="2:19" hidden="1" outlineLevel="1" x14ac:dyDescent="0.2">
      <c r="B132" s="93"/>
      <c r="C132" s="93"/>
      <c r="D132" s="94"/>
      <c r="E132" s="97" t="s">
        <v>161</v>
      </c>
      <c r="F132" s="97"/>
      <c r="G132" s="97"/>
      <c r="H132" s="97"/>
      <c r="I132" s="95"/>
      <c r="J132" s="115">
        <f>J131/(I131/9*12)-1</f>
        <v>0.1877250111241453</v>
      </c>
      <c r="K132" s="115">
        <f>K131/J131-1</f>
        <v>-6.7119636942620797E-2</v>
      </c>
      <c r="L132" s="203">
        <f>(L131*2)/K131-1</f>
        <v>0.24701544302873191</v>
      </c>
      <c r="M132" s="362">
        <f>L132</f>
        <v>0.24701544302873191</v>
      </c>
      <c r="N132" s="204">
        <f>N131/K131-1</f>
        <v>0.24701544302873191</v>
      </c>
      <c r="O132" s="115">
        <f>O131/N131-1</f>
        <v>4.9430584650543175E-2</v>
      </c>
      <c r="P132" s="115">
        <f>P131/O131-1</f>
        <v>0.21199999999999974</v>
      </c>
      <c r="Q132" s="115">
        <f>Q131/P131-1</f>
        <v>0.21199999999999997</v>
      </c>
      <c r="R132" s="115">
        <f>R131/Q131-1</f>
        <v>0.21200000000000019</v>
      </c>
      <c r="S132" s="115">
        <f>S131/R131-1</f>
        <v>0.21199999999999974</v>
      </c>
    </row>
    <row r="133" spans="2:19" hidden="1" outlineLevel="2" x14ac:dyDescent="0.2">
      <c r="B133" s="93"/>
      <c r="C133" s="93"/>
      <c r="D133" s="93"/>
      <c r="E133" s="99" t="s">
        <v>166</v>
      </c>
      <c r="F133" s="99"/>
      <c r="G133" s="99"/>
      <c r="H133" s="99"/>
      <c r="I133" s="98">
        <f>'Dart_중고차 Sales'!K53</f>
        <v>9378.7300656088155</v>
      </c>
      <c r="J133" s="98">
        <f>'Dart_중고차 Sales'!L53</f>
        <v>8879.1350941820583</v>
      </c>
      <c r="K133" s="98">
        <f>'Dart_중고차 Sales'!M53</f>
        <v>8960.2178670570847</v>
      </c>
      <c r="L133" s="207">
        <f>'Dart_중고차 Sales'!N53</f>
        <v>10042.314502296305</v>
      </c>
      <c r="M133" s="364">
        <f>L133</f>
        <v>10042.314502296305</v>
      </c>
      <c r="N133" s="208">
        <f>M133</f>
        <v>10042.314502296305</v>
      </c>
      <c r="O133" s="98">
        <f>(1+Control!J57)*N133</f>
        <v>10142.737647319269</v>
      </c>
      <c r="P133" s="98">
        <f>(1+Control!K57)*O133</f>
        <v>10244.165023792462</v>
      </c>
      <c r="Q133" s="98">
        <f>(1+Control!L57)*P133</f>
        <v>10346.606674030387</v>
      </c>
      <c r="R133" s="98">
        <f>(1+Control!M57)*Q133</f>
        <v>10450.072740770691</v>
      </c>
      <c r="S133" s="98">
        <f>(1+Control!N57)*R133</f>
        <v>10554.573468178398</v>
      </c>
    </row>
    <row r="134" spans="2:19" hidden="1" outlineLevel="2" x14ac:dyDescent="0.2">
      <c r="B134" s="93"/>
      <c r="C134" s="93"/>
      <c r="D134" s="93"/>
      <c r="E134" s="99"/>
      <c r="F134" s="97" t="s">
        <v>161</v>
      </c>
      <c r="G134" s="97"/>
      <c r="H134" s="97"/>
      <c r="I134" s="98"/>
      <c r="J134" s="115">
        <f>J133/(I133)-1</f>
        <v>-5.3268935978735388E-2</v>
      </c>
      <c r="K134" s="115">
        <f>K133/J133-1</f>
        <v>9.1318323254430123E-3</v>
      </c>
      <c r="L134" s="203">
        <f>(L133)/K133-1</f>
        <v>0.12076677724741836</v>
      </c>
      <c r="M134" s="362">
        <f>L134</f>
        <v>0.12076677724741836</v>
      </c>
      <c r="N134" s="204">
        <f>N133/K133-1</f>
        <v>0.12076677724741836</v>
      </c>
      <c r="O134" s="115">
        <f>O133/N133-1</f>
        <v>1.0000000000000009E-2</v>
      </c>
      <c r="P134" s="115">
        <f>P133/O133-1</f>
        <v>1.0000000000000009E-2</v>
      </c>
      <c r="Q134" s="115">
        <f>Q133/P133-1</f>
        <v>1.0000000000000009E-2</v>
      </c>
      <c r="R134" s="115">
        <f>R133/Q133-1</f>
        <v>1.0000000000000009E-2</v>
      </c>
      <c r="S134" s="115">
        <f>S133/R133-1</f>
        <v>1.0000000000000009E-2</v>
      </c>
    </row>
    <row r="135" spans="2:19" hidden="1" outlineLevel="2" x14ac:dyDescent="0.2">
      <c r="B135" s="93"/>
      <c r="C135" s="93"/>
      <c r="D135" s="93"/>
      <c r="E135" s="99" t="s">
        <v>167</v>
      </c>
      <c r="F135" s="99"/>
      <c r="G135" s="99"/>
      <c r="H135" s="99"/>
      <c r="I135" s="98">
        <f>'Dart_중고차 Sales'!K42</f>
        <v>7907.5737846375196</v>
      </c>
      <c r="J135" s="98">
        <f>'Dart_중고차 Sales'!L42</f>
        <v>13227.301843504516</v>
      </c>
      <c r="K135" s="98">
        <f>'Dart_중고차 Sales'!M42</f>
        <v>12227.827674014523</v>
      </c>
      <c r="L135" s="207">
        <f>'Dart_중고차 Sales'!N42</f>
        <v>6802.6150728877401</v>
      </c>
      <c r="M135" s="364">
        <f>L135</f>
        <v>6802.6150728877401</v>
      </c>
      <c r="N135" s="208">
        <f>L135+M135</f>
        <v>13605.23014577548</v>
      </c>
      <c r="O135" s="98">
        <f>O137*O139</f>
        <v>14136.38081800629</v>
      </c>
      <c r="P135" s="98">
        <f>P137*P139</f>
        <v>16963.656981607546</v>
      </c>
      <c r="Q135" s="98">
        <f>Q137*Q139</f>
        <v>20356.388377929055</v>
      </c>
      <c r="R135" s="98">
        <f>R137*R139</f>
        <v>24427.666053514869</v>
      </c>
      <c r="S135" s="98">
        <f>S137*S139</f>
        <v>29313.199264217837</v>
      </c>
    </row>
    <row r="136" spans="2:19" hidden="1" outlineLevel="2" x14ac:dyDescent="0.2">
      <c r="B136" s="93"/>
      <c r="C136" s="93"/>
      <c r="D136" s="93"/>
      <c r="E136" s="99"/>
      <c r="F136" s="97" t="s">
        <v>161</v>
      </c>
      <c r="G136" s="97"/>
      <c r="H136" s="97"/>
      <c r="I136" s="98"/>
      <c r="J136" s="115">
        <f>J135/(I135/9*12)-1</f>
        <v>0.25455375476880726</v>
      </c>
      <c r="K136" s="115">
        <f>K135/J135-1</f>
        <v>-7.5561454733173772E-2</v>
      </c>
      <c r="L136" s="203">
        <f>(L135*2)/K135-1</f>
        <v>0.11264490377862368</v>
      </c>
      <c r="M136" s="362">
        <f>L136</f>
        <v>0.11264490377862368</v>
      </c>
      <c r="N136" s="204">
        <f>N135/K135-1</f>
        <v>0.11264490377862368</v>
      </c>
      <c r="O136" s="115">
        <f>O135/N135-1</f>
        <v>3.9040182822319691E-2</v>
      </c>
      <c r="P136" s="115">
        <f>P135/O135-1</f>
        <v>0.19999999999999996</v>
      </c>
      <c r="Q136" s="115">
        <f>Q135/P135-1</f>
        <v>0.19999999999999996</v>
      </c>
      <c r="R136" s="115">
        <f>R135/Q135-1</f>
        <v>0.20000000000000018</v>
      </c>
      <c r="S136" s="115">
        <f>S135/R135-1</f>
        <v>0.19999999999999973</v>
      </c>
    </row>
    <row r="137" spans="2:19" hidden="1" outlineLevel="2" x14ac:dyDescent="0.2">
      <c r="B137" s="93"/>
      <c r="C137" s="93"/>
      <c r="D137" s="93"/>
      <c r="E137" s="99"/>
      <c r="F137" s="97"/>
      <c r="G137" s="219" t="s">
        <v>168</v>
      </c>
      <c r="H137" s="219"/>
      <c r="I137" s="157">
        <f>I135/I139</f>
        <v>511341.48890936363</v>
      </c>
      <c r="J137" s="157">
        <f>J135/J139</f>
        <v>529528.88689394679</v>
      </c>
      <c r="K137" s="157">
        <f>K135/K139</f>
        <v>546020.53426724719</v>
      </c>
      <c r="L137" s="209">
        <f>L135/L139</f>
        <v>294507.93370846438</v>
      </c>
      <c r="M137" s="365">
        <f>M135/M139</f>
        <v>294507.93370846438</v>
      </c>
      <c r="N137" s="210">
        <f>L137+M137</f>
        <v>589015.86741692876</v>
      </c>
      <c r="O137" s="157">
        <f>(1+Control!J58)*N137</f>
        <v>706819.04090031446</v>
      </c>
      <c r="P137" s="157">
        <f>(1+Control!K58)*O137</f>
        <v>848182.84908037737</v>
      </c>
      <c r="Q137" s="157">
        <f>(1+Control!L58)*P137</f>
        <v>1017819.4188964528</v>
      </c>
      <c r="R137" s="157">
        <f>(1+Control!M58)*Q137</f>
        <v>1221383.3026757434</v>
      </c>
      <c r="S137" s="157">
        <f>(1+Control!N58)*R137</f>
        <v>1465659.9632108919</v>
      </c>
    </row>
    <row r="138" spans="2:19" hidden="1" outlineLevel="2" x14ac:dyDescent="0.2">
      <c r="B138" s="93"/>
      <c r="C138" s="93"/>
      <c r="D138" s="93"/>
      <c r="E138" s="99"/>
      <c r="F138" s="97"/>
      <c r="G138" s="97"/>
      <c r="H138" s="97" t="s">
        <v>161</v>
      </c>
      <c r="I138" s="98"/>
      <c r="J138" s="115">
        <f>J137/I137-1</f>
        <v>3.5568007640793819E-2</v>
      </c>
      <c r="K138" s="115">
        <f>K137/J137-1</f>
        <v>3.1143999470992556E-2</v>
      </c>
      <c r="L138" s="203">
        <f>(L137*2)/K137-1</f>
        <v>7.874306999713987E-2</v>
      </c>
      <c r="M138" s="362">
        <f>L138</f>
        <v>7.874306999713987E-2</v>
      </c>
      <c r="N138" s="204">
        <f>N137/K137-1</f>
        <v>7.874306999713987E-2</v>
      </c>
      <c r="O138" s="115">
        <f>O137/N137-1</f>
        <v>0.19999999999999996</v>
      </c>
      <c r="P138" s="115">
        <f>P137/O137-1</f>
        <v>0.19999999999999996</v>
      </c>
      <c r="Q138" s="115">
        <f>Q137/P137-1</f>
        <v>0.19999999999999996</v>
      </c>
      <c r="R138" s="115">
        <f>R137/Q137-1</f>
        <v>0.19999999999999996</v>
      </c>
      <c r="S138" s="115">
        <f>S137/R137-1</f>
        <v>0.19999999999999996</v>
      </c>
    </row>
    <row r="139" spans="2:19" hidden="1" outlineLevel="2" x14ac:dyDescent="0.2">
      <c r="B139" s="93"/>
      <c r="C139" s="93"/>
      <c r="D139" s="93"/>
      <c r="E139" s="99"/>
      <c r="F139" s="97"/>
      <c r="G139" s="219" t="s">
        <v>169</v>
      </c>
      <c r="H139" s="219"/>
      <c r="I139" s="158">
        <f>Dart_시장리서치!F$48</f>
        <v>1.5464369616288175E-2</v>
      </c>
      <c r="J139" s="158">
        <f>Dart_시장리서치!G$48</f>
        <v>2.4979377274565305E-2</v>
      </c>
      <c r="K139" s="158">
        <f>Dart_시장리서치!H$48</f>
        <v>2.2394446557626475E-2</v>
      </c>
      <c r="L139" s="211">
        <f>Dart_시장리서치!I$48</f>
        <v>2.309824046920821E-2</v>
      </c>
      <c r="M139" s="366">
        <f>L139</f>
        <v>2.309824046920821E-2</v>
      </c>
      <c r="N139" s="212">
        <f>M139</f>
        <v>2.309824046920821E-2</v>
      </c>
      <c r="O139" s="158">
        <f>Control!J59</f>
        <v>0.02</v>
      </c>
      <c r="P139" s="158">
        <f>Control!K59</f>
        <v>0.02</v>
      </c>
      <c r="Q139" s="158">
        <f>Control!L59</f>
        <v>0.02</v>
      </c>
      <c r="R139" s="158">
        <f>Control!M59</f>
        <v>0.02</v>
      </c>
      <c r="S139" s="158">
        <f>Control!N59</f>
        <v>0.02</v>
      </c>
    </row>
    <row r="140" spans="2:19" collapsed="1" x14ac:dyDescent="0.2">
      <c r="B140" s="119" t="s">
        <v>104</v>
      </c>
      <c r="C140" s="120"/>
      <c r="D140" s="120"/>
      <c r="E140" s="120"/>
      <c r="F140" s="120"/>
      <c r="G140" s="120"/>
      <c r="H140" s="120"/>
      <c r="I140" s="121">
        <f t="shared" ref="I140:S140" si="20">I142+I144</f>
        <v>50546</v>
      </c>
      <c r="J140" s="121">
        <f t="shared" si="20"/>
        <v>80966</v>
      </c>
      <c r="K140" s="121">
        <f t="shared" si="20"/>
        <v>98049</v>
      </c>
      <c r="L140" s="199">
        <f t="shared" si="20"/>
        <v>69172</v>
      </c>
      <c r="M140" s="360">
        <f t="shared" si="20"/>
        <v>69172</v>
      </c>
      <c r="N140" s="200">
        <f t="shared" si="20"/>
        <v>138344</v>
      </c>
      <c r="O140" s="121">
        <f t="shared" si="20"/>
        <v>166012.79999999999</v>
      </c>
      <c r="P140" s="121">
        <f t="shared" si="20"/>
        <v>199215.35999999999</v>
      </c>
      <c r="Q140" s="121">
        <f t="shared" si="20"/>
        <v>239058.432</v>
      </c>
      <c r="R140" s="121">
        <f t="shared" si="20"/>
        <v>286870.11839999998</v>
      </c>
      <c r="S140" s="121">
        <f t="shared" si="20"/>
        <v>344244.1420799999</v>
      </c>
    </row>
    <row r="141" spans="2:19" x14ac:dyDescent="0.2">
      <c r="B141" s="93"/>
      <c r="C141" s="97" t="s">
        <v>161</v>
      </c>
      <c r="D141" s="93"/>
      <c r="E141" s="93"/>
      <c r="F141" s="93"/>
      <c r="G141" s="93"/>
      <c r="H141" s="93"/>
      <c r="I141" s="93"/>
      <c r="J141" s="115">
        <f>J140/(I140/9*12)-1</f>
        <v>0.20137102837019727</v>
      </c>
      <c r="K141" s="115">
        <f>K140/J140-1</f>
        <v>0.21098979818689334</v>
      </c>
      <c r="L141" s="203">
        <f>(L140*2)/K140-1</f>
        <v>0.41096798539505763</v>
      </c>
      <c r="M141" s="362">
        <f>L141</f>
        <v>0.41096798539505763</v>
      </c>
      <c r="N141" s="204">
        <f>N140/K140-1</f>
        <v>0.41096798539505763</v>
      </c>
      <c r="O141" s="115">
        <f>O140/N140-1</f>
        <v>0.19999999999999996</v>
      </c>
      <c r="P141" s="115">
        <f>P140/O140-1</f>
        <v>0.19999999999999996</v>
      </c>
      <c r="Q141" s="115">
        <f>Q140/P140-1</f>
        <v>0.20000000000000018</v>
      </c>
      <c r="R141" s="115">
        <f>R140/Q140-1</f>
        <v>0.19999999999999996</v>
      </c>
      <c r="S141" s="115">
        <f>S140/R140-1</f>
        <v>0.19999999999999973</v>
      </c>
    </row>
    <row r="142" spans="2:19" x14ac:dyDescent="0.2">
      <c r="B142" s="93"/>
      <c r="C142" s="93" t="s">
        <v>185</v>
      </c>
      <c r="D142" s="93"/>
      <c r="E142" s="93"/>
      <c r="F142" s="93"/>
      <c r="G142" s="93"/>
      <c r="H142" s="93"/>
      <c r="I142" s="116">
        <f>Dart_Sales!F8</f>
        <v>47395</v>
      </c>
      <c r="J142" s="116">
        <f>Dart_Sales!G8</f>
        <v>76145</v>
      </c>
      <c r="K142" s="116">
        <f>Dart_Sales!H8</f>
        <v>92450</v>
      </c>
      <c r="L142" s="213">
        <f>Dart_Sales!I8</f>
        <v>65592</v>
      </c>
      <c r="M142" s="367">
        <f>L142</f>
        <v>65592</v>
      </c>
      <c r="N142" s="214">
        <f>L142+M142</f>
        <v>131184</v>
      </c>
      <c r="O142" s="116">
        <f>(1+Control!J$63)*N142</f>
        <v>157420.79999999999</v>
      </c>
      <c r="P142" s="116">
        <f>(1+Control!K$63)*O142</f>
        <v>188904.95999999999</v>
      </c>
      <c r="Q142" s="116">
        <f>(1+Control!L$63)*P142</f>
        <v>226685.95199999999</v>
      </c>
      <c r="R142" s="116">
        <f>(1+Control!M$63)*Q142</f>
        <v>272023.14239999995</v>
      </c>
      <c r="S142" s="116">
        <f>(1+Control!N$63)*R142</f>
        <v>326427.77087999991</v>
      </c>
    </row>
    <row r="143" spans="2:19" x14ac:dyDescent="0.2">
      <c r="B143" s="93"/>
      <c r="C143" s="93"/>
      <c r="D143" s="97" t="s">
        <v>161</v>
      </c>
      <c r="E143" s="93"/>
      <c r="F143" s="93"/>
      <c r="G143" s="93"/>
      <c r="H143" s="93"/>
      <c r="I143" s="93"/>
      <c r="J143" s="115">
        <f>J142/(I142/9*12)-1</f>
        <v>0.20495305411963272</v>
      </c>
      <c r="K143" s="115">
        <f>K142/J142-1</f>
        <v>0.2141309344014708</v>
      </c>
      <c r="L143" s="203">
        <f>(L142*2)/K142-1</f>
        <v>0.41897241752298542</v>
      </c>
      <c r="M143" s="362">
        <f>L143</f>
        <v>0.41897241752298542</v>
      </c>
      <c r="N143" s="204">
        <f>N142/K142-1</f>
        <v>0.41897241752298542</v>
      </c>
      <c r="O143" s="115">
        <f>O142/N142-1</f>
        <v>0.19999999999999996</v>
      </c>
      <c r="P143" s="115">
        <f>P142/O142-1</f>
        <v>0.19999999999999996</v>
      </c>
      <c r="Q143" s="115">
        <f>Q142/P142-1</f>
        <v>0.19999999999999996</v>
      </c>
      <c r="R143" s="115">
        <f>R142/Q142-1</f>
        <v>0.19999999999999996</v>
      </c>
      <c r="S143" s="115">
        <f>S142/R142-1</f>
        <v>0.19999999999999996</v>
      </c>
    </row>
    <row r="144" spans="2:19" x14ac:dyDescent="0.2">
      <c r="B144" s="93"/>
      <c r="C144" s="93" t="s">
        <v>186</v>
      </c>
      <c r="D144" s="93"/>
      <c r="E144" s="93"/>
      <c r="F144" s="93"/>
      <c r="G144" s="93"/>
      <c r="H144" s="93"/>
      <c r="I144" s="116">
        <f>Dart_Sales!F12</f>
        <v>3151</v>
      </c>
      <c r="J144" s="116">
        <f>Dart_Sales!G12</f>
        <v>4821</v>
      </c>
      <c r="K144" s="116">
        <f>Dart_Sales!H12</f>
        <v>5599</v>
      </c>
      <c r="L144" s="213">
        <f>Dart_Sales!I12</f>
        <v>3580</v>
      </c>
      <c r="M144" s="367">
        <f>L144</f>
        <v>3580</v>
      </c>
      <c r="N144" s="214">
        <f>L144+M144</f>
        <v>7160</v>
      </c>
      <c r="O144" s="116">
        <f>(1+Control!J$64)*N144</f>
        <v>8592</v>
      </c>
      <c r="P144" s="116">
        <f>(1+Control!K$64)*O144</f>
        <v>10310.4</v>
      </c>
      <c r="Q144" s="116">
        <f>(1+Control!L$64)*P144</f>
        <v>12372.48</v>
      </c>
      <c r="R144" s="116">
        <f>(1+Control!M$64)*Q144</f>
        <v>14846.975999999999</v>
      </c>
      <c r="S144" s="116">
        <f>(1+Control!N$64)*R144</f>
        <v>17816.371199999998</v>
      </c>
    </row>
    <row r="145" spans="2:19" x14ac:dyDescent="0.2">
      <c r="B145" s="93"/>
      <c r="C145" s="93"/>
      <c r="D145" s="97" t="s">
        <v>161</v>
      </c>
      <c r="E145" s="93"/>
      <c r="F145" s="93"/>
      <c r="G145" s="93"/>
      <c r="H145" s="93"/>
      <c r="I145" s="93"/>
      <c r="J145" s="115">
        <f>J144/(I144/9*12)-1</f>
        <v>0.14749285940971135</v>
      </c>
      <c r="K145" s="115">
        <f>K144/J144-1</f>
        <v>0.16137730761252844</v>
      </c>
      <c r="L145" s="203">
        <f>(L144*2)/K144-1</f>
        <v>0.2787997856760136</v>
      </c>
      <c r="M145" s="362">
        <f>L145</f>
        <v>0.2787997856760136</v>
      </c>
      <c r="N145" s="204">
        <f>N144/K144-1</f>
        <v>0.2787997856760136</v>
      </c>
      <c r="O145" s="115">
        <f>O144/N144-1</f>
        <v>0.19999999999999996</v>
      </c>
      <c r="P145" s="115">
        <f>P144/O144-1</f>
        <v>0.19999999999999996</v>
      </c>
      <c r="Q145" s="115">
        <f>Q144/P144-1</f>
        <v>0.19999999999999996</v>
      </c>
      <c r="R145" s="115">
        <f>R144/Q144-1</f>
        <v>0.19999999999999996</v>
      </c>
      <c r="S145" s="115">
        <f>S144/R144-1</f>
        <v>0.19999999999999996</v>
      </c>
    </row>
    <row r="146" spans="2:19" x14ac:dyDescent="0.2">
      <c r="B146" s="119" t="s">
        <v>187</v>
      </c>
      <c r="C146" s="120"/>
      <c r="D146" s="120"/>
      <c r="E146" s="120"/>
      <c r="F146" s="120"/>
      <c r="G146" s="120"/>
      <c r="H146" s="120"/>
      <c r="I146" s="121">
        <f t="shared" ref="I146:S146" si="21">I148+I150</f>
        <v>0</v>
      </c>
      <c r="J146" s="121">
        <f t="shared" si="21"/>
        <v>0</v>
      </c>
      <c r="K146" s="121">
        <f t="shared" si="21"/>
        <v>0</v>
      </c>
      <c r="L146" s="199">
        <f t="shared" si="21"/>
        <v>22392</v>
      </c>
      <c r="M146" s="360">
        <f t="shared" si="21"/>
        <v>22392</v>
      </c>
      <c r="N146" s="200">
        <f t="shared" si="21"/>
        <v>44784</v>
      </c>
      <c r="O146" s="121">
        <f t="shared" si="21"/>
        <v>53740.799999999996</v>
      </c>
      <c r="P146" s="121">
        <f t="shared" si="21"/>
        <v>64488.959999999992</v>
      </c>
      <c r="Q146" s="121">
        <f t="shared" si="21"/>
        <v>77386.751999999993</v>
      </c>
      <c r="R146" s="121">
        <f t="shared" si="21"/>
        <v>92864.102399999974</v>
      </c>
      <c r="S146" s="121">
        <f t="shared" si="21"/>
        <v>111436.92287999997</v>
      </c>
    </row>
    <row r="147" spans="2:19" x14ac:dyDescent="0.2">
      <c r="B147" s="93"/>
      <c r="C147" s="97" t="s">
        <v>161</v>
      </c>
      <c r="D147" s="93"/>
      <c r="E147" s="93"/>
      <c r="F147" s="93"/>
      <c r="G147" s="93"/>
      <c r="H147" s="93"/>
      <c r="I147" s="93"/>
      <c r="J147" s="115"/>
      <c r="K147" s="115"/>
      <c r="L147" s="237" t="s">
        <v>126</v>
      </c>
      <c r="M147" s="368" t="s">
        <v>126</v>
      </c>
      <c r="N147" s="369" t="s">
        <v>126</v>
      </c>
      <c r="O147" s="115">
        <f>O146/N146-1</f>
        <v>0.19999999999999996</v>
      </c>
      <c r="P147" s="115">
        <f>P146/O146-1</f>
        <v>0.19999999999999996</v>
      </c>
      <c r="Q147" s="115">
        <f>Q146/P146-1</f>
        <v>0.19999999999999996</v>
      </c>
      <c r="R147" s="115">
        <f>R146/Q146-1</f>
        <v>0.19999999999999973</v>
      </c>
      <c r="S147" s="115">
        <f>S146/R146-1</f>
        <v>0.19999999999999996</v>
      </c>
    </row>
    <row r="148" spans="2:19" x14ac:dyDescent="0.2">
      <c r="B148" s="93"/>
      <c r="C148" s="93" t="s">
        <v>188</v>
      </c>
      <c r="D148" s="93"/>
      <c r="E148" s="93"/>
      <c r="F148" s="93"/>
      <c r="G148" s="93"/>
      <c r="H148" s="93"/>
      <c r="I148" s="122">
        <f>Dart_Sales!F16</f>
        <v>0</v>
      </c>
      <c r="J148" s="122">
        <f>Dart_Sales!G16</f>
        <v>0</v>
      </c>
      <c r="K148" s="122">
        <f>Dart_Sales!H16</f>
        <v>0</v>
      </c>
      <c r="L148" s="238">
        <f>Dart_Sales!I16</f>
        <v>5615</v>
      </c>
      <c r="M148" s="370">
        <f>L148</f>
        <v>5615</v>
      </c>
      <c r="N148" s="239">
        <f>L148+M148</f>
        <v>11230</v>
      </c>
      <c r="O148" s="122">
        <f>(1+Control!J65)*N148</f>
        <v>13476</v>
      </c>
      <c r="P148" s="122">
        <f>(1+Control!K65)*O148</f>
        <v>16171.199999999999</v>
      </c>
      <c r="Q148" s="122">
        <f>(1+Control!L65)*P148</f>
        <v>19405.439999999999</v>
      </c>
      <c r="R148" s="122">
        <f>(1+Control!M65)*Q148</f>
        <v>23286.527999999998</v>
      </c>
      <c r="S148" s="122">
        <f>(1+Control!N65)*R148</f>
        <v>27943.833599999998</v>
      </c>
    </row>
    <row r="149" spans="2:19" x14ac:dyDescent="0.2">
      <c r="B149" s="93"/>
      <c r="C149" s="93"/>
      <c r="D149" s="97" t="s">
        <v>161</v>
      </c>
      <c r="E149" s="93"/>
      <c r="F149" s="93"/>
      <c r="G149" s="93"/>
      <c r="H149" s="93"/>
      <c r="I149" s="93"/>
      <c r="J149" s="115"/>
      <c r="K149" s="115"/>
      <c r="L149" s="240" t="s">
        <v>126</v>
      </c>
      <c r="M149" s="368" t="s">
        <v>126</v>
      </c>
      <c r="N149" s="369" t="s">
        <v>126</v>
      </c>
      <c r="O149" s="115">
        <f>O148/N148-1</f>
        <v>0.19999999999999996</v>
      </c>
      <c r="P149" s="115">
        <f>P148/O148-1</f>
        <v>0.19999999999999996</v>
      </c>
      <c r="Q149" s="115">
        <f>Q148/P148-1</f>
        <v>0.19999999999999996</v>
      </c>
      <c r="R149" s="115">
        <f>R148/Q148-1</f>
        <v>0.19999999999999996</v>
      </c>
      <c r="S149" s="115">
        <f>S148/R148-1</f>
        <v>0.19999999999999996</v>
      </c>
    </row>
    <row r="150" spans="2:19" x14ac:dyDescent="0.2">
      <c r="B150" s="93"/>
      <c r="C150" s="93" t="s">
        <v>189</v>
      </c>
      <c r="D150" s="93"/>
      <c r="E150" s="93"/>
      <c r="F150" s="93"/>
      <c r="G150" s="93"/>
      <c r="H150" s="93"/>
      <c r="I150" s="122">
        <f>Dart_Sales!F17</f>
        <v>0</v>
      </c>
      <c r="J150" s="122">
        <f>Dart_Sales!G17</f>
        <v>0</v>
      </c>
      <c r="K150" s="122">
        <f>Dart_Sales!H17</f>
        <v>0</v>
      </c>
      <c r="L150" s="238">
        <f>Dart_Sales!I17</f>
        <v>16777</v>
      </c>
      <c r="M150" s="370">
        <f>L150</f>
        <v>16777</v>
      </c>
      <c r="N150" s="239">
        <f>L150+M150</f>
        <v>33554</v>
      </c>
      <c r="O150" s="122">
        <f>(1+Control!J66)*N150</f>
        <v>40264.799999999996</v>
      </c>
      <c r="P150" s="122">
        <f>(1+Control!K66)*O150</f>
        <v>48317.759999999995</v>
      </c>
      <c r="Q150" s="122">
        <f>(1+Control!L66)*P150</f>
        <v>57981.311999999991</v>
      </c>
      <c r="R150" s="122">
        <f>(1+Control!M66)*Q150</f>
        <v>69577.574399999983</v>
      </c>
      <c r="S150" s="122">
        <f>(1+Control!N66)*R150</f>
        <v>83493.089279999971</v>
      </c>
    </row>
    <row r="151" spans="2:19" x14ac:dyDescent="0.2">
      <c r="B151" s="93"/>
      <c r="C151" s="93"/>
      <c r="D151" s="97" t="s">
        <v>161</v>
      </c>
      <c r="E151" s="93"/>
      <c r="F151" s="93"/>
      <c r="G151" s="93"/>
      <c r="H151" s="93"/>
      <c r="I151" s="93"/>
      <c r="J151" s="115"/>
      <c r="K151" s="115"/>
      <c r="L151" s="240" t="s">
        <v>126</v>
      </c>
      <c r="M151" s="368" t="s">
        <v>126</v>
      </c>
      <c r="N151" s="369" t="s">
        <v>126</v>
      </c>
      <c r="O151" s="115">
        <f>O150/N150-1</f>
        <v>0.19999999999999996</v>
      </c>
      <c r="P151" s="115">
        <f>P150/O150-1</f>
        <v>0.19999999999999996</v>
      </c>
      <c r="Q151" s="115">
        <f>Q150/P150-1</f>
        <v>0.19999999999999996</v>
      </c>
      <c r="R151" s="115">
        <f>R150/Q150-1</f>
        <v>0.19999999999999996</v>
      </c>
      <c r="S151" s="115">
        <f>S150/R150-1</f>
        <v>0.19999999999999996</v>
      </c>
    </row>
    <row r="152" spans="2:19" x14ac:dyDescent="0.2">
      <c r="B152" s="119" t="s">
        <v>190</v>
      </c>
      <c r="C152" s="120"/>
      <c r="D152" s="120"/>
      <c r="E152" s="120"/>
      <c r="F152" s="120"/>
      <c r="G152" s="120"/>
      <c r="H152" s="120"/>
      <c r="I152" s="121">
        <f t="shared" ref="I152:S152" si="22">I154+I156+I158</f>
        <v>17853</v>
      </c>
      <c r="J152" s="121">
        <f t="shared" si="22"/>
        <v>33589</v>
      </c>
      <c r="K152" s="121">
        <f t="shared" si="22"/>
        <v>40415</v>
      </c>
      <c r="L152" s="199">
        <f t="shared" si="22"/>
        <v>26960</v>
      </c>
      <c r="M152" s="360">
        <f t="shared" si="22"/>
        <v>26960</v>
      </c>
      <c r="N152" s="200">
        <f t="shared" si="22"/>
        <v>53920</v>
      </c>
      <c r="O152" s="121">
        <f t="shared" si="22"/>
        <v>52382.711509479021</v>
      </c>
      <c r="P152" s="121">
        <f t="shared" si="22"/>
        <v>62041.432210759755</v>
      </c>
      <c r="Q152" s="121">
        <f t="shared" si="22"/>
        <v>73586.598734314903</v>
      </c>
      <c r="R152" s="121">
        <f t="shared" si="22"/>
        <v>87400.113865796957</v>
      </c>
      <c r="S152" s="121">
        <f t="shared" si="22"/>
        <v>103942.81710765442</v>
      </c>
    </row>
    <row r="153" spans="2:19" x14ac:dyDescent="0.2">
      <c r="B153" s="93"/>
      <c r="C153" s="97" t="s">
        <v>161</v>
      </c>
      <c r="D153" s="93"/>
      <c r="E153" s="93"/>
      <c r="F153" s="93"/>
      <c r="G153" s="93"/>
      <c r="H153" s="93"/>
      <c r="I153" s="93"/>
      <c r="J153" s="115">
        <f>J152/(I152/9*12)-1</f>
        <v>0.41106536716518227</v>
      </c>
      <c r="K153" s="115">
        <f>K152/J152-1</f>
        <v>0.20322129268510514</v>
      </c>
      <c r="L153" s="203">
        <f>(L152*2)/K152-1</f>
        <v>0.33415810961276748</v>
      </c>
      <c r="M153" s="362">
        <f>L153</f>
        <v>0.33415810961276748</v>
      </c>
      <c r="N153" s="204">
        <f>N152/K152-1</f>
        <v>0.33415810961276748</v>
      </c>
      <c r="O153" s="115">
        <f>O152/N152-1</f>
        <v>-2.8510543221828222E-2</v>
      </c>
      <c r="P153" s="115">
        <f>P152/O152-1</f>
        <v>0.18438756648809451</v>
      </c>
      <c r="Q153" s="115">
        <f>Q152/P152-1</f>
        <v>0.18608800783862112</v>
      </c>
      <c r="R153" s="115">
        <f>R152/Q152-1</f>
        <v>0.18771780961579543</v>
      </c>
      <c r="S153" s="115">
        <f>S152/R152-1</f>
        <v>0.18927553420878618</v>
      </c>
    </row>
    <row r="154" spans="2:19" x14ac:dyDescent="0.2">
      <c r="B154" s="93"/>
      <c r="C154" s="93" t="s">
        <v>191</v>
      </c>
      <c r="D154" s="93"/>
      <c r="E154" s="93"/>
      <c r="F154" s="93"/>
      <c r="G154" s="93"/>
      <c r="H154" s="93"/>
      <c r="I154" s="116">
        <f>Dart_Sales!F10</f>
        <v>3536</v>
      </c>
      <c r="J154" s="116">
        <f>Dart_Sales!G10</f>
        <v>8426</v>
      </c>
      <c r="K154" s="116">
        <f>Dart_Sales!H10</f>
        <v>12754</v>
      </c>
      <c r="L154" s="213">
        <f>Dart_Sales!I10</f>
        <v>10354</v>
      </c>
      <c r="M154" s="367">
        <f>L154</f>
        <v>10354</v>
      </c>
      <c r="N154" s="214">
        <f>L154+M154</f>
        <v>20708</v>
      </c>
      <c r="O154" s="116">
        <f>Control!J$67*O$8</f>
        <v>18661.115967602349</v>
      </c>
      <c r="P154" s="116">
        <f>Control!K$67*P$8</f>
        <v>21307.504884021713</v>
      </c>
      <c r="Q154" s="116">
        <f>Control!L$67*Q$8</f>
        <v>24369.544039494915</v>
      </c>
      <c r="R154" s="116">
        <f>Control!M$67*R$8</f>
        <v>27919.213637255165</v>
      </c>
      <c r="S154" s="116">
        <f>Control!N$67*S$8</f>
        <v>32041.962404754584</v>
      </c>
    </row>
    <row r="155" spans="2:19" x14ac:dyDescent="0.2">
      <c r="B155" s="93"/>
      <c r="C155" s="93"/>
      <c r="D155" s="97" t="s">
        <v>192</v>
      </c>
      <c r="E155" s="93"/>
      <c r="F155" s="93"/>
      <c r="G155" s="93"/>
      <c r="H155" s="93"/>
      <c r="I155" s="115">
        <f t="shared" ref="I155:S155" si="23">I154/I8</f>
        <v>2.2715884416235177E-2</v>
      </c>
      <c r="J155" s="115">
        <f t="shared" si="23"/>
        <v>2.9587544156582931E-2</v>
      </c>
      <c r="K155" s="115">
        <f t="shared" si="23"/>
        <v>3.1242574560597709E-2</v>
      </c>
      <c r="L155" s="203">
        <f t="shared" si="23"/>
        <v>3.2063768313416056E-2</v>
      </c>
      <c r="M155" s="362">
        <f t="shared" si="23"/>
        <v>3.2063768313416056E-2</v>
      </c>
      <c r="N155" s="204">
        <f t="shared" si="23"/>
        <v>3.2063768313416056E-2</v>
      </c>
      <c r="O155" s="115">
        <f t="shared" si="23"/>
        <v>2.8902442861707969E-2</v>
      </c>
      <c r="P155" s="115">
        <f t="shared" si="23"/>
        <v>2.8902442861707969E-2</v>
      </c>
      <c r="Q155" s="115">
        <f t="shared" si="23"/>
        <v>2.8902442861707969E-2</v>
      </c>
      <c r="R155" s="115">
        <f t="shared" si="23"/>
        <v>2.8902442861707969E-2</v>
      </c>
      <c r="S155" s="115">
        <f t="shared" si="23"/>
        <v>2.8902442861707969E-2</v>
      </c>
    </row>
    <row r="156" spans="2:19" x14ac:dyDescent="0.2">
      <c r="B156" s="93"/>
      <c r="C156" s="93" t="s">
        <v>193</v>
      </c>
      <c r="D156" s="93"/>
      <c r="E156" s="93"/>
      <c r="F156" s="93"/>
      <c r="G156" s="93"/>
      <c r="H156" s="93"/>
      <c r="I156" s="116">
        <f>Dart_Sales!F11</f>
        <v>12724</v>
      </c>
      <c r="J156" s="116">
        <f>Dart_Sales!G11</f>
        <v>21736</v>
      </c>
      <c r="K156" s="116">
        <f>Dart_Sales!H11</f>
        <v>23630</v>
      </c>
      <c r="L156" s="213">
        <f>Dart_Sales!I11</f>
        <v>13891</v>
      </c>
      <c r="M156" s="367">
        <f>L156</f>
        <v>13891</v>
      </c>
      <c r="N156" s="214">
        <f>L156+M156</f>
        <v>27782</v>
      </c>
      <c r="O156" s="116">
        <f>Control!J$67*O$74</f>
        <v>28459.192879092141</v>
      </c>
      <c r="P156" s="116">
        <f>Control!K$67*P$74</f>
        <v>34492.541769459676</v>
      </c>
      <c r="Q156" s="116">
        <f>Control!L$67*Q$74</f>
        <v>41804.960624585132</v>
      </c>
      <c r="R156" s="116">
        <f>Control!M$67*R$74</f>
        <v>50667.612276997177</v>
      </c>
      <c r="S156" s="116">
        <f>Control!N$67*S$74</f>
        <v>61409.146079720587</v>
      </c>
    </row>
    <row r="157" spans="2:19" x14ac:dyDescent="0.2">
      <c r="B157" s="93"/>
      <c r="C157" s="93"/>
      <c r="D157" s="97" t="s">
        <v>194</v>
      </c>
      <c r="E157" s="93"/>
      <c r="F157" s="93"/>
      <c r="G157" s="93"/>
      <c r="H157" s="93"/>
      <c r="I157" s="115">
        <f t="shared" ref="I157:S157" si="24">I156/I74</f>
        <v>2.4528571043023313E-2</v>
      </c>
      <c r="J157" s="115">
        <f t="shared" si="24"/>
        <v>2.7653275556952187E-2</v>
      </c>
      <c r="K157" s="115">
        <f t="shared" si="24"/>
        <v>3.0434362623563124E-2</v>
      </c>
      <c r="L157" s="203">
        <f t="shared" si="24"/>
        <v>2.9609372002506705E-2</v>
      </c>
      <c r="M157" s="362">
        <f t="shared" si="24"/>
        <v>2.9609372002506705E-2</v>
      </c>
      <c r="N157" s="204">
        <f t="shared" si="24"/>
        <v>2.9609372002506705E-2</v>
      </c>
      <c r="O157" s="115">
        <f t="shared" si="24"/>
        <v>2.8902442861707969E-2</v>
      </c>
      <c r="P157" s="115">
        <f t="shared" si="24"/>
        <v>2.8902442861707966E-2</v>
      </c>
      <c r="Q157" s="115">
        <f t="shared" si="24"/>
        <v>2.8902442861707969E-2</v>
      </c>
      <c r="R157" s="115">
        <f t="shared" si="24"/>
        <v>2.8902442861707969E-2</v>
      </c>
      <c r="S157" s="115">
        <f t="shared" si="24"/>
        <v>2.8902442861707969E-2</v>
      </c>
    </row>
    <row r="158" spans="2:19" x14ac:dyDescent="0.2">
      <c r="B158" s="93"/>
      <c r="C158" s="93" t="s">
        <v>195</v>
      </c>
      <c r="D158" s="93"/>
      <c r="E158" s="93"/>
      <c r="F158" s="93"/>
      <c r="G158" s="93"/>
      <c r="H158" s="93"/>
      <c r="I158" s="116">
        <f>Dart_Sales!F14+Dart_Sales!F18</f>
        <v>1593</v>
      </c>
      <c r="J158" s="116">
        <f>Dart_Sales!G14+Dart_Sales!G18</f>
        <v>3427</v>
      </c>
      <c r="K158" s="116">
        <f>Dart_Sales!H14+Dart_Sales!H18</f>
        <v>4031</v>
      </c>
      <c r="L158" s="213">
        <f>Dart_Sales!I14+Dart_Sales!I18</f>
        <v>2715</v>
      </c>
      <c r="M158" s="367">
        <f>L158</f>
        <v>2715</v>
      </c>
      <c r="N158" s="214">
        <f>L158+M158</f>
        <v>5430</v>
      </c>
      <c r="O158" s="116">
        <f>Control!J$69*(O5+O140+O146+O154+O156)</f>
        <v>5262.4026627845324</v>
      </c>
      <c r="P158" s="116">
        <f>Control!K$69*(P5+P140+P146+P154+P156)</f>
        <v>6241.3855572783614</v>
      </c>
      <c r="Q158" s="116">
        <f>Control!L$69*(Q5+Q140+Q146+Q154+Q156)</f>
        <v>7412.0940702348626</v>
      </c>
      <c r="R158" s="116">
        <f>Control!M$69*(R5+R140+R146+R154+R156)</f>
        <v>8813.287951544613</v>
      </c>
      <c r="S158" s="116">
        <f>Control!N$69*(S5+S140+S146+S154+S156)</f>
        <v>10491.708623179253</v>
      </c>
    </row>
    <row r="159" spans="2:19" x14ac:dyDescent="0.2">
      <c r="B159" s="93"/>
      <c r="C159" s="93"/>
      <c r="D159" s="97" t="s">
        <v>196</v>
      </c>
      <c r="E159" s="93"/>
      <c r="F159" s="93"/>
      <c r="G159" s="93"/>
      <c r="H159" s="93"/>
      <c r="I159" s="126">
        <f t="shared" ref="I159:S159" si="25">I158/(I5+I140+I146+I154+I156)</f>
        <v>2.1491884890921602E-3</v>
      </c>
      <c r="J159" s="126">
        <f t="shared" si="25"/>
        <v>2.8994973471333728E-3</v>
      </c>
      <c r="K159" s="126">
        <f t="shared" si="25"/>
        <v>3.0559108107677834E-3</v>
      </c>
      <c r="L159" s="215">
        <f t="shared" si="25"/>
        <v>2.9905162633416678E-3</v>
      </c>
      <c r="M159" s="371">
        <f t="shared" si="25"/>
        <v>2.9905162633416678E-3</v>
      </c>
      <c r="N159" s="216">
        <f t="shared" si="25"/>
        <v>2.9905162633416678E-3</v>
      </c>
      <c r="O159" s="126">
        <f t="shared" si="25"/>
        <v>2.7737782275837463E-3</v>
      </c>
      <c r="P159" s="126">
        <f t="shared" si="25"/>
        <v>2.7737782275837463E-3</v>
      </c>
      <c r="Q159" s="126">
        <f t="shared" si="25"/>
        <v>2.7737782275837463E-3</v>
      </c>
      <c r="R159" s="126">
        <f t="shared" si="25"/>
        <v>2.7737782275837467E-3</v>
      </c>
      <c r="S159" s="126">
        <f t="shared" si="25"/>
        <v>2.7737782275837463E-3</v>
      </c>
    </row>
    <row r="160" spans="2:19" x14ac:dyDescent="0.2">
      <c r="B160" s="123" t="s">
        <v>197</v>
      </c>
      <c r="C160" s="123"/>
      <c r="D160" s="123"/>
      <c r="E160" s="123"/>
      <c r="F160" s="123"/>
      <c r="G160" s="123"/>
      <c r="H160" s="123"/>
      <c r="I160" s="124">
        <f t="shared" ref="I160:S160" si="26">I5+I140+I152+I146</f>
        <v>742803</v>
      </c>
      <c r="J160" s="124">
        <f t="shared" si="26"/>
        <v>1185356</v>
      </c>
      <c r="K160" s="124">
        <f t="shared" si="26"/>
        <v>1323114</v>
      </c>
      <c r="L160" s="217">
        <f t="shared" si="26"/>
        <v>910585</v>
      </c>
      <c r="M160" s="372">
        <f t="shared" si="26"/>
        <v>910585</v>
      </c>
      <c r="N160" s="218">
        <f t="shared" si="26"/>
        <v>1821170</v>
      </c>
      <c r="O160" s="124">
        <f t="shared" si="26"/>
        <v>1902459.0171767864</v>
      </c>
      <c r="P160" s="124">
        <f t="shared" si="26"/>
        <v>2256380.0214478867</v>
      </c>
      <c r="Q160" s="124">
        <f t="shared" si="26"/>
        <v>2679613.4966645511</v>
      </c>
      <c r="R160" s="124">
        <f t="shared" si="26"/>
        <v>3186171.832301327</v>
      </c>
      <c r="S160" s="124">
        <f t="shared" si="26"/>
        <v>3792952.9446530836</v>
      </c>
    </row>
    <row r="161" spans="8:19" x14ac:dyDescent="0.2">
      <c r="L161" s="55"/>
      <c r="M161" s="55"/>
      <c r="N161" s="55"/>
      <c r="O161" s="55"/>
      <c r="P161" s="55"/>
      <c r="Q161" s="55"/>
      <c r="R161" s="55"/>
      <c r="S161" s="55"/>
    </row>
    <row r="163" spans="8:19" x14ac:dyDescent="0.2">
      <c r="H163" s="1" t="s">
        <v>198</v>
      </c>
    </row>
    <row r="164" spans="8:19" x14ac:dyDescent="0.2">
      <c r="H164" s="1" t="s">
        <v>199</v>
      </c>
    </row>
  </sheetData>
  <phoneticPr fontId="2" type="noConversion"/>
  <hyperlinks>
    <hyperlink ref="I1" location="Index!A1" display="Index!A1" xr:uid="{A71FDFAA-FC9C-480C-A870-7A97ACD79383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FF380-8A62-4410-A273-DF50EAD12573}">
  <dimension ref="B1:G56"/>
  <sheetViews>
    <sheetView showGridLines="0" zoomScale="85" zoomScaleNormal="85" workbookViewId="0">
      <selection activeCell="G3" sqref="G3"/>
    </sheetView>
  </sheetViews>
  <sheetFormatPr defaultColWidth="9.28515625" defaultRowHeight="12" x14ac:dyDescent="0.2"/>
  <cols>
    <col min="1" max="2" width="1.7109375" style="1" customWidth="1"/>
    <col min="3" max="3" width="27.28515625" style="1" bestFit="1" customWidth="1"/>
    <col min="4" max="7" width="10.42578125" style="1" bestFit="1" customWidth="1"/>
    <col min="8" max="8" width="9.28515625" style="1"/>
    <col min="9" max="9" width="17.140625" style="1" bestFit="1" customWidth="1"/>
    <col min="10" max="10" width="9.85546875" style="1" bestFit="1" customWidth="1"/>
    <col min="11" max="16384" width="9.28515625" style="1"/>
  </cols>
  <sheetData>
    <row r="1" spans="2:7" ht="15" x14ac:dyDescent="0.2">
      <c r="B1" s="25" t="s">
        <v>200</v>
      </c>
      <c r="D1" s="614" t="s">
        <v>0</v>
      </c>
    </row>
    <row r="3" spans="2:7" x14ac:dyDescent="0.2">
      <c r="B3" s="117" t="s">
        <v>29</v>
      </c>
      <c r="C3" s="117"/>
      <c r="D3" s="117">
        <v>2018</v>
      </c>
      <c r="E3" s="117">
        <v>2019</v>
      </c>
      <c r="F3" s="117">
        <v>2020</v>
      </c>
      <c r="G3" s="118" t="s">
        <v>30</v>
      </c>
    </row>
    <row r="4" spans="2:7" x14ac:dyDescent="0.2">
      <c r="B4" s="96" t="s">
        <v>201</v>
      </c>
      <c r="C4" s="96"/>
      <c r="D4" s="100">
        <f>Sales!I8</f>
        <v>155662</v>
      </c>
      <c r="E4" s="100">
        <f>Sales!J8</f>
        <v>284782</v>
      </c>
      <c r="F4" s="100">
        <f>Sales!K8</f>
        <v>408225</v>
      </c>
      <c r="G4" s="100">
        <f>Sales!L8</f>
        <v>322919</v>
      </c>
    </row>
    <row r="5" spans="2:7" x14ac:dyDescent="0.2">
      <c r="B5" s="93"/>
      <c r="C5" s="93" t="s">
        <v>202</v>
      </c>
      <c r="D5" s="125">
        <f>Dart_시장리서치!F40</f>
        <v>17000</v>
      </c>
      <c r="E5" s="125">
        <f>Dart_시장리서치!G40</f>
        <v>24000</v>
      </c>
      <c r="F5" s="125">
        <f>Dart_시장리서치!H40</f>
        <v>40000</v>
      </c>
      <c r="G5" s="125">
        <f>Dart_시장리서치!I40/2</f>
        <v>33500</v>
      </c>
    </row>
    <row r="6" spans="2:7" x14ac:dyDescent="0.2">
      <c r="B6" s="93"/>
      <c r="C6" s="93" t="s">
        <v>203</v>
      </c>
      <c r="D6" s="178">
        <f>D7/D5</f>
        <v>0.74705882352941178</v>
      </c>
      <c r="E6" s="178">
        <f>E7/E5</f>
        <v>0.93974999999999997</v>
      </c>
      <c r="F6" s="178">
        <f>F7/F5</f>
        <v>0.78185000000000004</v>
      </c>
      <c r="G6" s="178">
        <f>G7/G5</f>
        <v>0.68417910447761199</v>
      </c>
    </row>
    <row r="7" spans="2:7" x14ac:dyDescent="0.2">
      <c r="B7" s="93"/>
      <c r="C7" s="93" t="s">
        <v>204</v>
      </c>
      <c r="D7" s="125">
        <f>Dart_시장리서치!F42</f>
        <v>12700</v>
      </c>
      <c r="E7" s="125">
        <f>Dart_시장리서치!G42</f>
        <v>22554</v>
      </c>
      <c r="F7" s="125">
        <f>Dart_시장리서치!H42</f>
        <v>31274</v>
      </c>
      <c r="G7" s="125">
        <f>Dart_시장리서치!I42/2</f>
        <v>22920</v>
      </c>
    </row>
    <row r="8" spans="2:7" x14ac:dyDescent="0.2">
      <c r="B8" s="93"/>
      <c r="C8" s="93" t="s">
        <v>205</v>
      </c>
      <c r="D8" s="122">
        <f>D4*10^6/D7/1000</f>
        <v>12256.850393700788</v>
      </c>
      <c r="E8" s="122">
        <f>E4*10^6/E7/1000</f>
        <v>12626.673760751974</v>
      </c>
      <c r="F8" s="122">
        <f>F4*10^6/F7/1000</f>
        <v>13053.175161475987</v>
      </c>
      <c r="G8" s="122">
        <f>G4*10^6/G7/1000</f>
        <v>14088.961605584642</v>
      </c>
    </row>
    <row r="9" spans="2:7" x14ac:dyDescent="0.2">
      <c r="B9" s="96" t="s">
        <v>206</v>
      </c>
      <c r="C9" s="96"/>
      <c r="D9" s="100">
        <f>Sales!I74</f>
        <v>518742</v>
      </c>
      <c r="E9" s="100">
        <f>Sales!J74</f>
        <v>786019</v>
      </c>
      <c r="F9" s="100">
        <f>Sales!K74</f>
        <v>776425</v>
      </c>
      <c r="G9" s="100">
        <f>Sales!L74</f>
        <v>469142</v>
      </c>
    </row>
    <row r="10" spans="2:7" x14ac:dyDescent="0.2">
      <c r="B10" s="93"/>
      <c r="C10" s="93" t="s">
        <v>207</v>
      </c>
      <c r="D10" s="125">
        <f>Dart_시장리서치!F45</f>
        <v>2554000</v>
      </c>
      <c r="E10" s="125">
        <f>Dart_시장리서치!G45</f>
        <v>2473000</v>
      </c>
      <c r="F10" s="125">
        <f>Dart_시장리서치!H45</f>
        <v>2629000</v>
      </c>
      <c r="G10" s="125">
        <f>Dart_시장리서치!I45/2</f>
        <v>1364000</v>
      </c>
    </row>
    <row r="11" spans="2:7" x14ac:dyDescent="0.2">
      <c r="B11" s="93"/>
      <c r="C11" s="93" t="s">
        <v>208</v>
      </c>
      <c r="D11" s="178">
        <f>D12/D10</f>
        <v>1.5464369616288175E-2</v>
      </c>
      <c r="E11" s="178">
        <f>E12/E10</f>
        <v>2.4979377274565305E-2</v>
      </c>
      <c r="F11" s="178">
        <f>F12/F10</f>
        <v>2.2394446557626475E-2</v>
      </c>
      <c r="G11" s="178">
        <f>G12/G10</f>
        <v>2.309824046920821E-2</v>
      </c>
    </row>
    <row r="12" spans="2:7" x14ac:dyDescent="0.2">
      <c r="B12" s="93"/>
      <c r="C12" s="93" t="s">
        <v>209</v>
      </c>
      <c r="D12" s="125">
        <f>Dart_시장리서치!F47</f>
        <v>39496</v>
      </c>
      <c r="E12" s="125">
        <f>Dart_시장리서치!G47</f>
        <v>61774</v>
      </c>
      <c r="F12" s="125">
        <f>Dart_시장리서치!H47</f>
        <v>58875</v>
      </c>
      <c r="G12" s="125">
        <f>Dart_시장리서치!I47/2</f>
        <v>31506</v>
      </c>
    </row>
    <row r="13" spans="2:7" x14ac:dyDescent="0.2">
      <c r="B13" s="93"/>
      <c r="C13" s="93" t="s">
        <v>210</v>
      </c>
      <c r="D13" s="122">
        <f>D9*10^6/D12/1000</f>
        <v>13134.038890014179</v>
      </c>
      <c r="E13" s="122">
        <f>E9*10^6/E12/1000</f>
        <v>12724.107229578787</v>
      </c>
      <c r="F13" s="122">
        <f>F9*10^6/F12/1000</f>
        <v>13187.68577494692</v>
      </c>
      <c r="G13" s="122">
        <f>G9*10^6/G12/1000</f>
        <v>14890.560528153368</v>
      </c>
    </row>
    <row r="14" spans="2:7" x14ac:dyDescent="0.2">
      <c r="B14" s="96" t="s">
        <v>104</v>
      </c>
      <c r="C14" s="96"/>
      <c r="D14" s="100">
        <f>Sales!I140</f>
        <v>50546</v>
      </c>
      <c r="E14" s="100">
        <f>Sales!J140</f>
        <v>80966</v>
      </c>
      <c r="F14" s="100">
        <f>Sales!K140</f>
        <v>98049</v>
      </c>
      <c r="G14" s="100">
        <f>Sales!L140</f>
        <v>69172</v>
      </c>
    </row>
    <row r="15" spans="2:7" x14ac:dyDescent="0.2">
      <c r="B15" s="96" t="s">
        <v>187</v>
      </c>
      <c r="C15" s="96"/>
      <c r="D15" s="100">
        <f>Sales!I146</f>
        <v>0</v>
      </c>
      <c r="E15" s="100">
        <f>Sales!J146</f>
        <v>0</v>
      </c>
      <c r="F15" s="100">
        <f>Sales!K146</f>
        <v>0</v>
      </c>
      <c r="G15" s="100">
        <f>Sales!L146</f>
        <v>22392</v>
      </c>
    </row>
    <row r="16" spans="2:7" x14ac:dyDescent="0.2">
      <c r="B16" s="96" t="s">
        <v>190</v>
      </c>
      <c r="C16" s="96"/>
      <c r="D16" s="100">
        <f>Sales!I152</f>
        <v>17853</v>
      </c>
      <c r="E16" s="100">
        <f>Sales!J152</f>
        <v>33589</v>
      </c>
      <c r="F16" s="100">
        <f>Sales!K152</f>
        <v>40415</v>
      </c>
      <c r="G16" s="100">
        <f>Sales!L152</f>
        <v>26960</v>
      </c>
    </row>
    <row r="17" spans="2:7" x14ac:dyDescent="0.2">
      <c r="B17" s="180" t="s">
        <v>211</v>
      </c>
      <c r="C17" s="123"/>
      <c r="D17" s="179">
        <f>D4+D9+D14+D15+D16</f>
        <v>742803</v>
      </c>
      <c r="E17" s="179">
        <f>E4+E9+E14+E15+E16</f>
        <v>1185356</v>
      </c>
      <c r="F17" s="179">
        <f>F4+F9+F14+F15+F16</f>
        <v>1323114</v>
      </c>
      <c r="G17" s="179">
        <f>G4+G9+G14+G15+G16</f>
        <v>910585</v>
      </c>
    </row>
    <row r="20" spans="2:7" x14ac:dyDescent="0.2">
      <c r="C20" s="171" t="s">
        <v>212</v>
      </c>
      <c r="D20" s="172">
        <f>D17</f>
        <v>742803</v>
      </c>
    </row>
    <row r="21" spans="2:7" x14ac:dyDescent="0.2">
      <c r="C21" s="175" t="s">
        <v>213</v>
      </c>
      <c r="D21" s="173">
        <f>(E5-D5)*D6*D8*1000/10^6</f>
        <v>64096.117647058825</v>
      </c>
    </row>
    <row r="22" spans="2:7" x14ac:dyDescent="0.2">
      <c r="C22" s="175" t="s">
        <v>214</v>
      </c>
      <c r="D22" s="173">
        <f>D5*(E6-D6)*D8*1000/10^6</f>
        <v>40150.37767716535</v>
      </c>
    </row>
    <row r="23" spans="2:7" x14ac:dyDescent="0.2">
      <c r="C23" s="175" t="s">
        <v>215</v>
      </c>
      <c r="D23" s="173">
        <f>D5*D6*(E8-D8)*1000/10^6</f>
        <v>4696.7567615500548</v>
      </c>
    </row>
    <row r="24" spans="2:7" x14ac:dyDescent="0.2">
      <c r="C24" s="175" t="s">
        <v>216</v>
      </c>
      <c r="D24" s="173">
        <f>Sales!J8-(Sales!I8+D21+D22+D23)</f>
        <v>20176.747914225794</v>
      </c>
    </row>
    <row r="25" spans="2:7" x14ac:dyDescent="0.2">
      <c r="C25" s="175" t="s">
        <v>217</v>
      </c>
      <c r="D25" s="173">
        <f>(E10-D10)*D11*D13*1000/10^6</f>
        <v>-16451.880187940485</v>
      </c>
    </row>
    <row r="26" spans="2:7" x14ac:dyDescent="0.2">
      <c r="C26" s="175" t="s">
        <v>218</v>
      </c>
      <c r="D26" s="173">
        <f>D10*(E11-D11)*D13*1000/10^6</f>
        <v>319174.60751010652</v>
      </c>
    </row>
    <row r="27" spans="2:7" x14ac:dyDescent="0.2">
      <c r="C27" s="175" t="s">
        <v>219</v>
      </c>
      <c r="D27" s="173">
        <f>D10*D11*(E13-D13)*1000/10^6</f>
        <v>-16190.660860556231</v>
      </c>
    </row>
    <row r="28" spans="2:7" x14ac:dyDescent="0.2">
      <c r="C28" s="175" t="s">
        <v>220</v>
      </c>
      <c r="D28" s="173">
        <f>Sales!J74-(Sales!I74+D25+D26+D27)</f>
        <v>-19255.066461609909</v>
      </c>
    </row>
    <row r="29" spans="2:7" x14ac:dyDescent="0.2">
      <c r="C29" s="175" t="s">
        <v>221</v>
      </c>
      <c r="D29" s="174">
        <f>E14-D14</f>
        <v>30420</v>
      </c>
    </row>
    <row r="30" spans="2:7" x14ac:dyDescent="0.2">
      <c r="C30" s="175" t="s">
        <v>222</v>
      </c>
      <c r="D30" s="174">
        <f>E15-D15</f>
        <v>0</v>
      </c>
    </row>
    <row r="31" spans="2:7" x14ac:dyDescent="0.2">
      <c r="C31" s="175" t="s">
        <v>223</v>
      </c>
      <c r="D31" s="174">
        <f>E16-D16</f>
        <v>15736</v>
      </c>
    </row>
    <row r="32" spans="2:7" x14ac:dyDescent="0.2">
      <c r="C32" s="175" t="s">
        <v>224</v>
      </c>
      <c r="D32" s="174">
        <f>E17</f>
        <v>1185356</v>
      </c>
    </row>
    <row r="33" spans="3:5" x14ac:dyDescent="0.2">
      <c r="C33" s="175" t="s">
        <v>213</v>
      </c>
      <c r="D33" s="174">
        <f>(F5-E5)*E6*E8*1000/10^6</f>
        <v>189854.66666666669</v>
      </c>
    </row>
    <row r="34" spans="3:5" x14ac:dyDescent="0.2">
      <c r="C34" s="175" t="s">
        <v>214</v>
      </c>
      <c r="D34" s="173">
        <f>E5*(F6-E6)*E8*1000/10^6</f>
        <v>-47850.042883745657</v>
      </c>
    </row>
    <row r="35" spans="3:5" x14ac:dyDescent="0.2">
      <c r="C35" s="175" t="s">
        <v>215</v>
      </c>
      <c r="D35" s="173">
        <f>E5*E6*(F8-E8)*1000/10^6</f>
        <v>9619.3125919293961</v>
      </c>
    </row>
    <row r="36" spans="3:5" x14ac:dyDescent="0.2">
      <c r="C36" s="175" t="s">
        <v>216</v>
      </c>
      <c r="D36" s="173">
        <f>Sales!K8-(Sales!J8+D33+D34+D35)</f>
        <v>-28180.936374850397</v>
      </c>
    </row>
    <row r="37" spans="3:5" x14ac:dyDescent="0.2">
      <c r="C37" s="175" t="s">
        <v>217</v>
      </c>
      <c r="D37" s="173">
        <f>(F10-E10)*E11*E13*1000/10^6</f>
        <v>49583.082895268904</v>
      </c>
    </row>
    <row r="38" spans="3:5" x14ac:dyDescent="0.2">
      <c r="C38" s="175" t="s">
        <v>218</v>
      </c>
      <c r="D38" s="173">
        <f>E10*(F11-E11)*E13*1000/10^6</f>
        <v>-81339.283796573349</v>
      </c>
    </row>
    <row r="39" spans="3:5" x14ac:dyDescent="0.2">
      <c r="C39" s="175" t="s">
        <v>219</v>
      </c>
      <c r="D39" s="173">
        <f>E10*E11*(F13-E13)*1000/10^6</f>
        <v>28637.10106157104</v>
      </c>
    </row>
    <row r="40" spans="3:5" x14ac:dyDescent="0.2">
      <c r="C40" s="175" t="s">
        <v>220</v>
      </c>
      <c r="D40" s="173">
        <f>Sales!K74-(Sales!J74+D37+D38+D39)</f>
        <v>-6474.9001602666685</v>
      </c>
    </row>
    <row r="41" spans="3:5" x14ac:dyDescent="0.2">
      <c r="C41" s="175" t="s">
        <v>221</v>
      </c>
      <c r="D41" s="174">
        <f>F14-E14</f>
        <v>17083</v>
      </c>
    </row>
    <row r="42" spans="3:5" x14ac:dyDescent="0.2">
      <c r="C42" s="175" t="s">
        <v>222</v>
      </c>
      <c r="D42" s="174">
        <f>F15-E15</f>
        <v>0</v>
      </c>
    </row>
    <row r="43" spans="3:5" x14ac:dyDescent="0.2">
      <c r="C43" s="175" t="s">
        <v>223</v>
      </c>
      <c r="D43" s="174">
        <f>F16-E16</f>
        <v>6826</v>
      </c>
    </row>
    <row r="44" spans="3:5" x14ac:dyDescent="0.2">
      <c r="C44" s="175" t="s">
        <v>225</v>
      </c>
      <c r="D44" s="174">
        <f>F17</f>
        <v>1323114</v>
      </c>
      <c r="E44" s="170"/>
    </row>
    <row r="45" spans="3:5" x14ac:dyDescent="0.2">
      <c r="C45" s="175" t="s">
        <v>213</v>
      </c>
      <c r="D45" s="173">
        <f>(G5*2-F5)*F6*F8*1000/10^6</f>
        <v>275551.875</v>
      </c>
      <c r="E45" s="170"/>
    </row>
    <row r="46" spans="3:5" x14ac:dyDescent="0.2">
      <c r="C46" s="175" t="s">
        <v>214</v>
      </c>
      <c r="D46" s="173">
        <f>F5*(G6-F6)*F8*1000/10^6</f>
        <v>-50996.612297278079</v>
      </c>
      <c r="E46" s="170"/>
    </row>
    <row r="47" spans="3:5" x14ac:dyDescent="0.2">
      <c r="C47" s="175" t="s">
        <v>215</v>
      </c>
      <c r="D47" s="173">
        <f>F5*F6*(G8-F8)*1000/10^6</f>
        <v>32393.185253054075</v>
      </c>
      <c r="E47" s="170"/>
    </row>
    <row r="48" spans="3:5" x14ac:dyDescent="0.2">
      <c r="C48" s="175" t="s">
        <v>216</v>
      </c>
      <c r="D48" s="173">
        <f>Sales!L8*2-(Sales!K8+D45+D46+D47)</f>
        <v>-19335.44795577589</v>
      </c>
      <c r="E48" s="169"/>
    </row>
    <row r="49" spans="3:5" x14ac:dyDescent="0.2">
      <c r="C49" s="175" t="s">
        <v>217</v>
      </c>
      <c r="D49" s="173">
        <f>(G10*2-F10)*F11*F13*1000/10^6</f>
        <v>29237.761506276151</v>
      </c>
      <c r="E49" s="169"/>
    </row>
    <row r="50" spans="3:5" x14ac:dyDescent="0.2">
      <c r="C50" s="175" t="s">
        <v>218</v>
      </c>
      <c r="D50" s="173">
        <f>F10*(G11-F11)*F13*1000/10^6</f>
        <v>24400.834662009365</v>
      </c>
      <c r="E50" s="169"/>
    </row>
    <row r="51" spans="3:5" x14ac:dyDescent="0.2">
      <c r="C51" s="175" t="s">
        <v>219</v>
      </c>
      <c r="D51" s="173">
        <f>F10*F11*(G13-F13)*1000/10^6</f>
        <v>100256.75109502963</v>
      </c>
      <c r="E51" s="169"/>
    </row>
    <row r="52" spans="3:5" x14ac:dyDescent="0.2">
      <c r="C52" s="175" t="s">
        <v>220</v>
      </c>
      <c r="D52" s="173">
        <f>Sales!L74*2-(Sales!K74+D49+D50+D51)</f>
        <v>7963.6527366847731</v>
      </c>
      <c r="E52" s="170"/>
    </row>
    <row r="53" spans="3:5" x14ac:dyDescent="0.2">
      <c r="C53" s="175" t="s">
        <v>221</v>
      </c>
      <c r="D53" s="174">
        <f>G14*2-F14</f>
        <v>40295</v>
      </c>
      <c r="E53" s="170"/>
    </row>
    <row r="54" spans="3:5" x14ac:dyDescent="0.2">
      <c r="C54" s="175" t="s">
        <v>222</v>
      </c>
      <c r="D54" s="174">
        <f>G15*2-F15</f>
        <v>44784</v>
      </c>
      <c r="E54" s="170"/>
    </row>
    <row r="55" spans="3:5" x14ac:dyDescent="0.2">
      <c r="C55" s="175" t="s">
        <v>223</v>
      </c>
      <c r="D55" s="174">
        <f>G16*2-F16</f>
        <v>13505</v>
      </c>
    </row>
    <row r="56" spans="3:5" x14ac:dyDescent="0.2">
      <c r="C56" s="176" t="s">
        <v>226</v>
      </c>
      <c r="D56" s="177">
        <f>G17*2</f>
        <v>1821170</v>
      </c>
    </row>
  </sheetData>
  <phoneticPr fontId="2" type="noConversion"/>
  <hyperlinks>
    <hyperlink ref="D1" location="Index!A1" display="Index!A1" xr:uid="{DC00CFA3-CEE9-4F90-8A80-15B864D6310B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F11BB-FE9E-4B11-973B-7E78498720F1}">
  <dimension ref="A1:V58"/>
  <sheetViews>
    <sheetView showGridLines="0" zoomScale="115" zoomScaleNormal="115" workbookViewId="0">
      <selection activeCell="O1" sqref="O1"/>
    </sheetView>
  </sheetViews>
  <sheetFormatPr defaultColWidth="9.28515625" defaultRowHeight="12" x14ac:dyDescent="0.2"/>
  <cols>
    <col min="1" max="1" width="1.7109375" style="1" customWidth="1"/>
    <col min="2" max="3" width="1.7109375" style="412" customWidth="1"/>
    <col min="4" max="4" width="19.7109375" style="412" customWidth="1"/>
    <col min="5" max="5" width="9.42578125" style="1" bestFit="1" customWidth="1"/>
    <col min="6" max="7" width="11.28515625" style="1" bestFit="1" customWidth="1"/>
    <col min="8" max="9" width="9.42578125" style="1" bestFit="1" customWidth="1"/>
    <col min="10" max="15" width="11.28515625" style="1" bestFit="1" customWidth="1"/>
    <col min="16" max="16" width="9.28515625" style="1"/>
    <col min="17" max="17" width="24.42578125" style="1" bestFit="1" customWidth="1"/>
    <col min="18" max="16384" width="9.28515625" style="1"/>
  </cols>
  <sheetData>
    <row r="1" spans="2:15" ht="15" x14ac:dyDescent="0.2">
      <c r="B1" s="25" t="s">
        <v>9</v>
      </c>
      <c r="E1" s="614" t="s">
        <v>0</v>
      </c>
    </row>
    <row r="2" spans="2:15" x14ac:dyDescent="0.2">
      <c r="B2" s="1"/>
    </row>
    <row r="3" spans="2:15" x14ac:dyDescent="0.2">
      <c r="B3" s="1"/>
      <c r="C3" s="1"/>
      <c r="D3" s="1"/>
      <c r="E3" s="242" t="s">
        <v>26</v>
      </c>
      <c r="F3" s="242"/>
      <c r="G3" s="242"/>
      <c r="H3" s="242"/>
      <c r="I3" s="243"/>
      <c r="J3" s="243" t="s">
        <v>28</v>
      </c>
      <c r="K3" s="241"/>
      <c r="L3" s="241"/>
      <c r="M3" s="241"/>
      <c r="N3" s="241"/>
      <c r="O3" s="241"/>
    </row>
    <row r="4" spans="2:15" x14ac:dyDescent="0.2">
      <c r="B4" s="117" t="s">
        <v>29</v>
      </c>
      <c r="C4" s="117"/>
      <c r="D4" s="117"/>
      <c r="E4" s="117">
        <v>2018</v>
      </c>
      <c r="F4" s="117">
        <v>2019</v>
      </c>
      <c r="G4" s="117">
        <v>2020</v>
      </c>
      <c r="H4" s="197" t="s">
        <v>30</v>
      </c>
      <c r="I4" s="359" t="s">
        <v>31</v>
      </c>
      <c r="J4" s="198">
        <v>2021</v>
      </c>
      <c r="K4" s="118">
        <v>2022</v>
      </c>
      <c r="L4" s="118">
        <f>K4+1</f>
        <v>2023</v>
      </c>
      <c r="M4" s="118">
        <f>L4+1</f>
        <v>2024</v>
      </c>
      <c r="N4" s="118">
        <f>M4+1</f>
        <v>2025</v>
      </c>
      <c r="O4" s="118">
        <f>N4+1</f>
        <v>2026</v>
      </c>
    </row>
    <row r="5" spans="2:15" x14ac:dyDescent="0.2">
      <c r="B5" s="414" t="s">
        <v>227</v>
      </c>
      <c r="C5" s="1"/>
      <c r="D5" s="1"/>
      <c r="E5" s="416">
        <f>Sales!I7</f>
        <v>52196</v>
      </c>
      <c r="F5" s="416">
        <f>Sales!J7</f>
        <v>84328</v>
      </c>
      <c r="G5" s="416">
        <f>Sales!K7</f>
        <v>90149</v>
      </c>
      <c r="H5" s="419">
        <f>Sales!L7</f>
        <v>54426</v>
      </c>
      <c r="I5" s="420">
        <f>Sales!M7</f>
        <v>54426</v>
      </c>
      <c r="J5" s="421">
        <f>Sales!N7</f>
        <v>108852</v>
      </c>
      <c r="K5" s="416">
        <f>Sales!O7</f>
        <v>111343.66858285572</v>
      </c>
      <c r="L5" s="416">
        <f>Sales!P7</f>
        <v>131007.23774056818</v>
      </c>
      <c r="M5" s="416">
        <f>Sales!Q7</f>
        <v>154343.0042739372</v>
      </c>
      <c r="N5" s="416">
        <f>Sales!R7</f>
        <v>182059.35601250565</v>
      </c>
      <c r="O5" s="416">
        <f>Sales!S7</f>
        <v>215003.75318716586</v>
      </c>
    </row>
    <row r="6" spans="2:15" x14ac:dyDescent="0.2">
      <c r="B6" s="414" t="s">
        <v>197</v>
      </c>
      <c r="C6" s="414"/>
      <c r="D6" s="415"/>
      <c r="E6" s="416">
        <f>Sales!I160</f>
        <v>742803</v>
      </c>
      <c r="F6" s="416">
        <f>Sales!J160</f>
        <v>1185356</v>
      </c>
      <c r="G6" s="416">
        <f>Sales!K160</f>
        <v>1323114</v>
      </c>
      <c r="H6" s="419">
        <f>Sales!L160</f>
        <v>910585</v>
      </c>
      <c r="I6" s="420">
        <f>Sales!M160</f>
        <v>910585</v>
      </c>
      <c r="J6" s="421">
        <f>Sales!N160</f>
        <v>1821170</v>
      </c>
      <c r="K6" s="416">
        <f>Sales!O160</f>
        <v>1902459.0171767864</v>
      </c>
      <c r="L6" s="416">
        <f>Sales!P160</f>
        <v>2256380.0214478867</v>
      </c>
      <c r="M6" s="416">
        <f>Sales!Q160</f>
        <v>2679613.4966645511</v>
      </c>
      <c r="N6" s="416">
        <f>Sales!R160</f>
        <v>3186171.832301327</v>
      </c>
      <c r="O6" s="416">
        <f>Sales!S160</f>
        <v>3792952.9446530836</v>
      </c>
    </row>
    <row r="7" spans="2:15" x14ac:dyDescent="0.2">
      <c r="B7" s="414" t="s">
        <v>228</v>
      </c>
      <c r="C7" s="414"/>
      <c r="D7" s="414"/>
      <c r="E7" s="416">
        <f>Sales!I5</f>
        <v>674404</v>
      </c>
      <c r="F7" s="416">
        <f>Sales!J5</f>
        <v>1070801</v>
      </c>
      <c r="G7" s="416">
        <f>Sales!K5</f>
        <v>1184650</v>
      </c>
      <c r="H7" s="419">
        <f>Sales!L5</f>
        <v>792061</v>
      </c>
      <c r="I7" s="420">
        <f>Sales!M5</f>
        <v>792061</v>
      </c>
      <c r="J7" s="421">
        <f>Sales!N5</f>
        <v>1584122</v>
      </c>
      <c r="K7" s="416">
        <f>Sales!O5</f>
        <v>1630322.7056673074</v>
      </c>
      <c r="L7" s="416">
        <f>Sales!P5</f>
        <v>1930634.2692371272</v>
      </c>
      <c r="M7" s="416">
        <f>Sales!Q5</f>
        <v>2289581.7139302362</v>
      </c>
      <c r="N7" s="416">
        <f>Sales!R5</f>
        <v>2719037.4976355303</v>
      </c>
      <c r="O7" s="416">
        <f>Sales!S5</f>
        <v>3233329.0625854293</v>
      </c>
    </row>
    <row r="8" spans="2:15" ht="12.75" thickBot="1" x14ac:dyDescent="0.25">
      <c r="B8" s="417" t="s">
        <v>229</v>
      </c>
      <c r="C8" s="417"/>
      <c r="D8" s="417"/>
      <c r="E8" s="418">
        <f>Sales!I148</f>
        <v>0</v>
      </c>
      <c r="F8" s="418">
        <f>Sales!J148</f>
        <v>0</v>
      </c>
      <c r="G8" s="418">
        <f>Sales!K148</f>
        <v>0</v>
      </c>
      <c r="H8" s="422">
        <f>Sales!L148</f>
        <v>5615</v>
      </c>
      <c r="I8" s="423">
        <f>Sales!M148</f>
        <v>5615</v>
      </c>
      <c r="J8" s="424">
        <f>Sales!N148</f>
        <v>11230</v>
      </c>
      <c r="K8" s="418">
        <f>Sales!O148</f>
        <v>13476</v>
      </c>
      <c r="L8" s="418">
        <f>Sales!P148</f>
        <v>16171.199999999999</v>
      </c>
      <c r="M8" s="418">
        <f>Sales!Q148</f>
        <v>19405.439999999999</v>
      </c>
      <c r="N8" s="418">
        <f>Sales!R148</f>
        <v>23286.527999999998</v>
      </c>
      <c r="O8" s="418">
        <f>Sales!S148</f>
        <v>27943.833599999998</v>
      </c>
    </row>
    <row r="9" spans="2:15" x14ac:dyDescent="0.2">
      <c r="B9" s="462" t="s">
        <v>230</v>
      </c>
      <c r="C9" s="463"/>
      <c r="D9" s="463"/>
      <c r="E9" s="483">
        <f>SUM(E11:E13)</f>
        <v>30994.722999999998</v>
      </c>
      <c r="F9" s="483">
        <f t="shared" ref="F9:H9" si="0">SUM(F11:F13)</f>
        <v>48926.556999999993</v>
      </c>
      <c r="G9" s="483">
        <f t="shared" si="0"/>
        <v>54031.413999999997</v>
      </c>
      <c r="H9" s="484">
        <f t="shared" si="0"/>
        <v>33044.703999999998</v>
      </c>
      <c r="I9" s="485">
        <f t="shared" ref="I9" si="1">SUM(I11:I13)</f>
        <v>33044.703999999998</v>
      </c>
      <c r="J9" s="486">
        <f t="shared" ref="J9" si="2">SUM(J11:J13)</f>
        <v>66089.407999999996</v>
      </c>
      <c r="K9" s="483">
        <f t="shared" ref="K9" si="3">SUM(K11:K13)</f>
        <v>68601.230826887419</v>
      </c>
      <c r="L9" s="483">
        <f t="shared" ref="L9" si="4">SUM(L11:L13)</f>
        <v>81184.550020283976</v>
      </c>
      <c r="M9" s="483">
        <f t="shared" ref="M9" si="5">SUM(M11:M13)</f>
        <v>96570.53995962003</v>
      </c>
      <c r="N9" s="483">
        <f t="shared" ref="N9" si="6">SUM(N11:N13)</f>
        <v>115296.43196313575</v>
      </c>
      <c r="O9" s="483">
        <f t="shared" ref="O9" si="7">SUM(O11:O13)</f>
        <v>137055.76220880027</v>
      </c>
    </row>
    <row r="10" spans="2:15" x14ac:dyDescent="0.2">
      <c r="B10" s="481"/>
      <c r="C10" s="489" t="s">
        <v>231</v>
      </c>
      <c r="D10" s="482"/>
      <c r="E10" s="490">
        <f>E9/E6</f>
        <v>4.1726706811900327E-2</v>
      </c>
      <c r="F10" s="490">
        <f t="shared" ref="F10:O10" si="8">F9/F6</f>
        <v>4.1275833589233944E-2</v>
      </c>
      <c r="G10" s="490">
        <f t="shared" si="8"/>
        <v>4.0836552254756582E-2</v>
      </c>
      <c r="H10" s="491">
        <f t="shared" si="8"/>
        <v>3.6289532553248731E-2</v>
      </c>
      <c r="I10" s="492">
        <f t="shared" si="8"/>
        <v>3.6289532553248731E-2</v>
      </c>
      <c r="J10" s="493">
        <f t="shared" si="8"/>
        <v>3.6289532553248731E-2</v>
      </c>
      <c r="K10" s="490">
        <f t="shared" si="8"/>
        <v>3.6059242384464271E-2</v>
      </c>
      <c r="L10" s="490">
        <f t="shared" si="8"/>
        <v>3.5979998603333237E-2</v>
      </c>
      <c r="M10" s="490">
        <f t="shared" si="8"/>
        <v>3.6038981024623967E-2</v>
      </c>
      <c r="N10" s="490">
        <f t="shared" si="8"/>
        <v>3.6186507831832394E-2</v>
      </c>
      <c r="O10" s="490">
        <f t="shared" si="8"/>
        <v>3.6134316509780974E-2</v>
      </c>
    </row>
    <row r="11" spans="2:15" x14ac:dyDescent="0.2">
      <c r="B11" s="93"/>
      <c r="C11" s="464" t="s">
        <v>232</v>
      </c>
      <c r="D11" s="464"/>
      <c r="E11" s="125">
        <f>Labor!G9</f>
        <v>25858.31</v>
      </c>
      <c r="F11" s="125">
        <f>Labor!H9</f>
        <v>40917.288999999997</v>
      </c>
      <c r="G11" s="125">
        <f>Labor!I9</f>
        <v>44758.008999999998</v>
      </c>
      <c r="H11" s="201">
        <f>Labor!J9</f>
        <v>27738.124</v>
      </c>
      <c r="I11" s="487">
        <f>Labor!K9</f>
        <v>27738.124</v>
      </c>
      <c r="J11" s="488">
        <f>Labor!L9</f>
        <v>55476.248</v>
      </c>
      <c r="K11" s="122">
        <f>Labor!M9</f>
        <v>58729.89671418049</v>
      </c>
      <c r="L11" s="122">
        <f>Labor!N9</f>
        <v>69817.43178782145</v>
      </c>
      <c r="M11" s="122">
        <f>Labor!O9</f>
        <v>83165.444985970142</v>
      </c>
      <c r="N11" s="122">
        <f>Labor!P9</f>
        <v>99173.807515289052</v>
      </c>
      <c r="O11" s="122">
        <f>Labor!Q9</f>
        <v>118344.83743399076</v>
      </c>
    </row>
    <row r="12" spans="2:15" x14ac:dyDescent="0.2">
      <c r="B12" s="93"/>
      <c r="C12" s="413" t="s">
        <v>233</v>
      </c>
      <c r="D12" s="413"/>
      <c r="E12" s="125">
        <f>Labor!G58</f>
        <v>2136.7049999999999</v>
      </c>
      <c r="F12" s="125">
        <f>Labor!H58</f>
        <v>3125.462</v>
      </c>
      <c r="G12" s="125">
        <f>Labor!I58</f>
        <v>4481.8630000000003</v>
      </c>
      <c r="H12" s="201">
        <f>Labor!J58</f>
        <v>2195.3409999999999</v>
      </c>
      <c r="I12" s="487">
        <f>Labor!K58</f>
        <v>2195.3409999999999</v>
      </c>
      <c r="J12" s="488">
        <f>Labor!L58</f>
        <v>4390.6819999999998</v>
      </c>
      <c r="K12" s="122">
        <f>Labor!M58</f>
        <v>4967.0346977131958</v>
      </c>
      <c r="L12" s="122">
        <f>Labor!N58</f>
        <v>5904.754232465747</v>
      </c>
      <c r="M12" s="122">
        <f>Labor!O58</f>
        <v>7033.651921889571</v>
      </c>
      <c r="N12" s="122">
        <f>Labor!P58</f>
        <v>8387.5465579327483</v>
      </c>
      <c r="O12" s="122">
        <f>Labor!Q58</f>
        <v>10008.921294219273</v>
      </c>
    </row>
    <row r="13" spans="2:15" x14ac:dyDescent="0.2">
      <c r="B13" s="93"/>
      <c r="C13" s="464" t="s">
        <v>234</v>
      </c>
      <c r="D13" s="464"/>
      <c r="E13" s="125">
        <f>Labor!G60</f>
        <v>2999.7080000000001</v>
      </c>
      <c r="F13" s="125">
        <f>Labor!H60</f>
        <v>4883.8059999999996</v>
      </c>
      <c r="G13" s="125">
        <f>Labor!I60</f>
        <v>4791.5420000000004</v>
      </c>
      <c r="H13" s="201">
        <f>Labor!J60</f>
        <v>3111.239</v>
      </c>
      <c r="I13" s="487">
        <f>Labor!K60</f>
        <v>3111.239</v>
      </c>
      <c r="J13" s="488">
        <f>Labor!L60</f>
        <v>6222.4780000000001</v>
      </c>
      <c r="K13" s="122">
        <f>Labor!M60</f>
        <v>4904.2994149937285</v>
      </c>
      <c r="L13" s="122">
        <f>Labor!N60</f>
        <v>5462.3639999967791</v>
      </c>
      <c r="M13" s="122">
        <f>Labor!O60</f>
        <v>6371.4430517603141</v>
      </c>
      <c r="N13" s="122">
        <f>Labor!P60</f>
        <v>7735.0778899139596</v>
      </c>
      <c r="O13" s="122">
        <f>Labor!Q60</f>
        <v>8702.0034805902469</v>
      </c>
    </row>
    <row r="14" spans="2:15" x14ac:dyDescent="0.2">
      <c r="B14" s="505" t="s">
        <v>235</v>
      </c>
      <c r="C14" s="1"/>
      <c r="D14" s="464"/>
      <c r="E14" s="125">
        <f>Dart_Cost!C25/1000</f>
        <v>0</v>
      </c>
      <c r="F14" s="125">
        <f>Dart_Cost!D25/1000</f>
        <v>0</v>
      </c>
      <c r="G14" s="125">
        <f>Dart_Cost!E25/1000</f>
        <v>0</v>
      </c>
      <c r="H14" s="201">
        <f>Dart_Cost!F25/1000</f>
        <v>975.47400000000005</v>
      </c>
      <c r="I14" s="361">
        <f>H14</f>
        <v>975.47400000000005</v>
      </c>
      <c r="J14" s="202">
        <f>H14+I14</f>
        <v>1950.9480000000001</v>
      </c>
      <c r="K14" s="122">
        <f>K9*Control!J73</f>
        <v>2058.0369248066227</v>
      </c>
      <c r="L14" s="122">
        <f>L9*Control!K73</f>
        <v>2435.536500608519</v>
      </c>
      <c r="M14" s="122">
        <f>M9*Control!L73</f>
        <v>2897.1161987886007</v>
      </c>
      <c r="N14" s="122">
        <f>N9*Control!M73</f>
        <v>3458.8929588940723</v>
      </c>
      <c r="O14" s="122">
        <f>O9*Control!N73</f>
        <v>4111.672866264008</v>
      </c>
    </row>
    <row r="15" spans="2:15" x14ac:dyDescent="0.2">
      <c r="B15" s="93"/>
      <c r="C15" s="464"/>
      <c r="D15" s="489" t="s">
        <v>236</v>
      </c>
      <c r="E15" s="126">
        <f>E14/E9</f>
        <v>0</v>
      </c>
      <c r="F15" s="126">
        <f t="shared" ref="F15:H15" si="9">F14/F9</f>
        <v>0</v>
      </c>
      <c r="G15" s="126">
        <f t="shared" si="9"/>
        <v>0</v>
      </c>
      <c r="H15" s="491">
        <f t="shared" si="9"/>
        <v>2.9519828653934987E-2</v>
      </c>
      <c r="I15" s="492">
        <f t="shared" ref="I15" si="10">I14/I9</f>
        <v>2.9519828653934987E-2</v>
      </c>
      <c r="J15" s="493">
        <f t="shared" ref="J15" si="11">J14/J9</f>
        <v>2.9519828653934987E-2</v>
      </c>
      <c r="K15" s="490">
        <f>K14/K9</f>
        <v>3.0000000000000002E-2</v>
      </c>
      <c r="L15" s="490">
        <f t="shared" ref="L15:O15" si="12">L14/L9</f>
        <v>2.9999999999999995E-2</v>
      </c>
      <c r="M15" s="490">
        <f t="shared" si="12"/>
        <v>0.03</v>
      </c>
      <c r="N15" s="490">
        <f t="shared" si="12"/>
        <v>0.03</v>
      </c>
      <c r="O15" s="490">
        <f t="shared" si="12"/>
        <v>0.03</v>
      </c>
    </row>
    <row r="16" spans="2:15" x14ac:dyDescent="0.2">
      <c r="B16" s="465" t="s">
        <v>237</v>
      </c>
      <c r="C16" s="93"/>
      <c r="D16" s="93"/>
      <c r="E16" s="494">
        <f>SUM(E17:E18)</f>
        <v>7432.3770940000004</v>
      </c>
      <c r="F16" s="494">
        <f t="shared" ref="F16:H16" si="13">SUM(F17:F18)</f>
        <v>13537.455988</v>
      </c>
      <c r="G16" s="494">
        <f t="shared" si="13"/>
        <v>15873.971768000001</v>
      </c>
      <c r="H16" s="495">
        <f t="shared" si="13"/>
        <v>19724.315835999998</v>
      </c>
      <c r="I16" s="496">
        <f t="shared" ref="I16" si="14">SUM(I17:I18)</f>
        <v>19724.315835999998</v>
      </c>
      <c r="J16" s="497">
        <f t="shared" ref="J16" si="15">SUM(J17:J18)</f>
        <v>39448.631671999996</v>
      </c>
      <c r="K16" s="494">
        <f t="shared" ref="K16" si="16">SUM(K17:K18)</f>
        <v>33669.771896425009</v>
      </c>
      <c r="L16" s="494">
        <f t="shared" ref="L16" si="17">SUM(L17:L18)</f>
        <v>30919.50262117176</v>
      </c>
      <c r="M16" s="494">
        <f t="shared" ref="M16" si="18">SUM(M17:M18)</f>
        <v>28755.21455705534</v>
      </c>
      <c r="N16" s="494">
        <f t="shared" ref="N16" si="19">SUM(N17:N18)</f>
        <v>27061.572967634995</v>
      </c>
      <c r="O16" s="494">
        <f t="shared" ref="O16" si="20">SUM(O17:O18)</f>
        <v>25746.401836287812</v>
      </c>
    </row>
    <row r="17" spans="1:22" x14ac:dyDescent="0.2">
      <c r="B17" s="93"/>
      <c r="C17" s="464" t="s">
        <v>238</v>
      </c>
      <c r="D17" s="464"/>
      <c r="E17" s="95">
        <f>'CapEx,D&amp;A'!F9</f>
        <v>6680.6335710000003</v>
      </c>
      <c r="F17" s="95">
        <f>'CapEx,D&amp;A'!G9</f>
        <v>12256.755057</v>
      </c>
      <c r="G17" s="95">
        <f>'CapEx,D&amp;A'!H9</f>
        <v>14214.472395000001</v>
      </c>
      <c r="H17" s="205">
        <f>'CapEx,D&amp;A'!I9</f>
        <v>18802.027765999999</v>
      </c>
      <c r="I17" s="487">
        <f>'CapEx,D&amp;A'!J9</f>
        <v>18802.027765999999</v>
      </c>
      <c r="J17" s="488">
        <f>'CapEx,D&amp;A'!K9</f>
        <v>37604.055531999998</v>
      </c>
      <c r="K17" s="122">
        <f>'CapEx,D&amp;A'!L9</f>
        <v>32110.435944400007</v>
      </c>
      <c r="L17" s="122">
        <f>'CapEx,D&amp;A'!M9</f>
        <v>29350.293755520008</v>
      </c>
      <c r="M17" s="122">
        <f>'CapEx,D&amp;A'!N9</f>
        <v>27175.277254416011</v>
      </c>
      <c r="N17" s="122">
        <f>'CapEx,D&amp;A'!O9</f>
        <v>25470.016166032809</v>
      </c>
      <c r="O17" s="122">
        <f>'CapEx,D&amp;A'!P9</f>
        <v>24142.297013451247</v>
      </c>
    </row>
    <row r="18" spans="1:22" x14ac:dyDescent="0.2">
      <c r="B18" s="93"/>
      <c r="C18" s="464" t="s">
        <v>239</v>
      </c>
      <c r="D18" s="464"/>
      <c r="E18" s="95">
        <f>'CapEx,D&amp;A'!F10</f>
        <v>751.74352299999998</v>
      </c>
      <c r="F18" s="95">
        <f>'CapEx,D&amp;A'!G10</f>
        <v>1280.7009310000001</v>
      </c>
      <c r="G18" s="95">
        <f>'CapEx,D&amp;A'!H10</f>
        <v>1659.4993730000001</v>
      </c>
      <c r="H18" s="205">
        <f>'CapEx,D&amp;A'!I10</f>
        <v>922.28806999999995</v>
      </c>
      <c r="I18" s="487">
        <f>'CapEx,D&amp;A'!J10</f>
        <v>922.28806999999995</v>
      </c>
      <c r="J18" s="488">
        <f>'CapEx,D&amp;A'!K10</f>
        <v>1844.5761399999999</v>
      </c>
      <c r="K18" s="122">
        <f>'CapEx,D&amp;A'!L10</f>
        <v>1559.3359520250001</v>
      </c>
      <c r="L18" s="122">
        <f>'CapEx,D&amp;A'!M10</f>
        <v>1569.2088656517503</v>
      </c>
      <c r="M18" s="122">
        <f>'CapEx,D&amp;A'!N10</f>
        <v>1579.9373026393278</v>
      </c>
      <c r="N18" s="122">
        <f>'CapEx,D&amp;A'!O10</f>
        <v>1591.5568016021844</v>
      </c>
      <c r="O18" s="122">
        <f>'CapEx,D&amp;A'!P10</f>
        <v>1604.1048228365657</v>
      </c>
    </row>
    <row r="19" spans="1:22" x14ac:dyDescent="0.2">
      <c r="B19" s="465" t="s">
        <v>240</v>
      </c>
      <c r="C19" s="413"/>
      <c r="D19" s="413"/>
      <c r="E19" s="494">
        <f>E21+E24+E27+E31+E33+E35+E37+E39+E41+E29</f>
        <v>688489.80899999989</v>
      </c>
      <c r="F19" s="494">
        <f t="shared" ref="F19:O19" si="21">F21+F24+F27+F31+F33+F35+F37+F39+F41+F29</f>
        <v>1088832.5089999998</v>
      </c>
      <c r="G19" s="494">
        <f t="shared" si="21"/>
        <v>1210703.0819999997</v>
      </c>
      <c r="H19" s="495">
        <f t="shared" si="21"/>
        <v>812768.7429999999</v>
      </c>
      <c r="I19" s="496">
        <f t="shared" si="21"/>
        <v>812768.7429999999</v>
      </c>
      <c r="J19" s="497">
        <f t="shared" si="21"/>
        <v>1625537.4859999998</v>
      </c>
      <c r="K19" s="494">
        <f t="shared" si="21"/>
        <v>1670801.6888441721</v>
      </c>
      <c r="L19" s="494">
        <f t="shared" si="21"/>
        <v>1985483.8553487763</v>
      </c>
      <c r="M19" s="494">
        <f t="shared" si="21"/>
        <v>2362471.400749526</v>
      </c>
      <c r="N19" s="494">
        <f t="shared" si="21"/>
        <v>2814479.8236162029</v>
      </c>
      <c r="O19" s="494">
        <f t="shared" si="21"/>
        <v>3356864.7400698513</v>
      </c>
    </row>
    <row r="20" spans="1:22" x14ac:dyDescent="0.2">
      <c r="B20" s="465"/>
      <c r="C20" s="489" t="s">
        <v>241</v>
      </c>
      <c r="D20" s="413"/>
      <c r="E20" s="115">
        <f>E19/E$6</f>
        <v>0.92688075977076012</v>
      </c>
      <c r="F20" s="115">
        <f t="shared" ref="F20:J20" si="22">F19/F$6</f>
        <v>0.91857004056165392</v>
      </c>
      <c r="G20" s="115">
        <f t="shared" si="22"/>
        <v>0.91504064048902789</v>
      </c>
      <c r="H20" s="203">
        <f t="shared" si="22"/>
        <v>0.89257866426527988</v>
      </c>
      <c r="I20" s="362">
        <f t="shared" si="22"/>
        <v>0.89257866426527988</v>
      </c>
      <c r="J20" s="204">
        <f t="shared" si="22"/>
        <v>0.89257866426527988</v>
      </c>
      <c r="K20" s="115">
        <f t="shared" ref="K20" si="23">K19/K$6</f>
        <v>0.87823268399421839</v>
      </c>
      <c r="L20" s="126">
        <f t="shared" ref="L20" si="24">L19/L$6</f>
        <v>0.8799421358440852</v>
      </c>
      <c r="M20" s="126">
        <f t="shared" ref="M20" si="25">M19/M$6</f>
        <v>0.88164632835676204</v>
      </c>
      <c r="N20" s="126">
        <f t="shared" ref="N20" si="26">N19/N$6</f>
        <v>0.8833421333661543</v>
      </c>
      <c r="O20" s="126">
        <f t="shared" ref="O20" si="27">O19/O$6</f>
        <v>0.88502672958334883</v>
      </c>
    </row>
    <row r="21" spans="1:22" x14ac:dyDescent="0.2">
      <c r="B21" s="93"/>
      <c r="C21" s="413" t="s">
        <v>242</v>
      </c>
      <c r="D21" s="413"/>
      <c r="E21" s="95">
        <f>(Dart_Cost!C6+Dart_Cost!C7)/1000</f>
        <v>663748.17000000004</v>
      </c>
      <c r="F21" s="95">
        <f>(Dart_Cost!D6+Dart_Cost!D7)/1000</f>
        <v>1053521.665</v>
      </c>
      <c r="G21" s="95">
        <f>(Dart_Cost!E6+Dart_Cost!E7)/1000</f>
        <v>1170061.558</v>
      </c>
      <c r="H21" s="205">
        <f>(Dart_Cost!F6+Dart_Cost!F7)/1000</f>
        <v>784113.35400000005</v>
      </c>
      <c r="I21" s="361">
        <f>H21</f>
        <v>784113.35400000005</v>
      </c>
      <c r="J21" s="202">
        <f>H21+I21</f>
        <v>1568226.7080000001</v>
      </c>
      <c r="K21" s="122">
        <f>K5*Control!J74</f>
        <v>1604124.0844296373</v>
      </c>
      <c r="L21" s="122">
        <f>L5*Control!K74</f>
        <v>1906290.5565145817</v>
      </c>
      <c r="M21" s="122">
        <f>M5*Control!L74</f>
        <v>2268308.5511281644</v>
      </c>
      <c r="N21" s="122">
        <f>N5*Control!M74</f>
        <v>2702399.5286260345</v>
      </c>
      <c r="O21" s="122">
        <f>O5*Control!N74</f>
        <v>3223324.055030568</v>
      </c>
    </row>
    <row r="22" spans="1:22" x14ac:dyDescent="0.2">
      <c r="A22" s="1" t="s">
        <v>27</v>
      </c>
      <c r="B22" s="93"/>
      <c r="C22" s="413"/>
      <c r="D22" s="489" t="s">
        <v>243</v>
      </c>
      <c r="E22" s="426">
        <f>E21/E$5</f>
        <v>12.716456625028739</v>
      </c>
      <c r="F22" s="426">
        <f t="shared" ref="F22:H22" si="28">F21/F5</f>
        <v>12.493141839009581</v>
      </c>
      <c r="G22" s="426">
        <f t="shared" si="28"/>
        <v>12.979196197406516</v>
      </c>
      <c r="H22" s="445">
        <f t="shared" si="28"/>
        <v>14.406962738397091</v>
      </c>
      <c r="I22" s="420">
        <f>H22</f>
        <v>14.406962738397091</v>
      </c>
      <c r="J22" s="421">
        <f>I22</f>
        <v>14.406962738397091</v>
      </c>
      <c r="K22" s="498">
        <f t="shared" ref="K22" si="29">K21/K5</f>
        <v>14.406962738397091</v>
      </c>
      <c r="L22" s="498">
        <f t="shared" ref="L22" si="30">L21/L5</f>
        <v>14.551032365781062</v>
      </c>
      <c r="M22" s="498">
        <f t="shared" ref="M22" si="31">M21/M5</f>
        <v>14.696542689438873</v>
      </c>
      <c r="N22" s="498">
        <f t="shared" ref="N22" si="32">N21/N5</f>
        <v>14.843508116333261</v>
      </c>
      <c r="O22" s="498">
        <f t="shared" ref="O22" si="33">O21/O5</f>
        <v>14.991943197496594</v>
      </c>
    </row>
    <row r="23" spans="1:22" x14ac:dyDescent="0.2">
      <c r="B23" s="93"/>
      <c r="C23" s="93"/>
      <c r="D23" s="489" t="s">
        <v>244</v>
      </c>
      <c r="E23" s="115">
        <f>E21/E$7</f>
        <v>0.98419963404724775</v>
      </c>
      <c r="F23" s="115">
        <f t="shared" ref="F23:O23" si="34">F21/F$7</f>
        <v>0.98386316878673075</v>
      </c>
      <c r="G23" s="115">
        <f t="shared" si="34"/>
        <v>0.98768544126957325</v>
      </c>
      <c r="H23" s="203">
        <f t="shared" si="34"/>
        <v>0.98996586626535088</v>
      </c>
      <c r="I23" s="362">
        <f t="shared" si="34"/>
        <v>0.98996586626535088</v>
      </c>
      <c r="J23" s="204">
        <f t="shared" si="34"/>
        <v>0.98996586626535088</v>
      </c>
      <c r="K23" s="115">
        <f t="shared" si="34"/>
        <v>0.98393040767536466</v>
      </c>
      <c r="L23" s="126">
        <f t="shared" si="34"/>
        <v>0.9873908211873994</v>
      </c>
      <c r="M23" s="126">
        <f t="shared" si="34"/>
        <v>0.99070871213172174</v>
      </c>
      <c r="N23" s="126">
        <f t="shared" si="34"/>
        <v>0.99388093432916458</v>
      </c>
      <c r="O23" s="126">
        <f t="shared" si="34"/>
        <v>0.99690566367938405</v>
      </c>
    </row>
    <row r="24" spans="1:22" x14ac:dyDescent="0.2">
      <c r="B24" s="93"/>
      <c r="C24" s="464" t="s">
        <v>245</v>
      </c>
      <c r="D24" s="464"/>
      <c r="E24" s="125">
        <f>Dart_Cost!C24/1000</f>
        <v>3856.2429999999999</v>
      </c>
      <c r="F24" s="125">
        <f>Dart_Cost!D24/1000</f>
        <v>4812.9309999999996</v>
      </c>
      <c r="G24" s="125">
        <f>Dart_Cost!E24/1000</f>
        <v>3766.9169999999999</v>
      </c>
      <c r="H24" s="201">
        <f>Dart_Cost!F24/1000</f>
        <v>1813.818</v>
      </c>
      <c r="I24" s="361">
        <f>H24</f>
        <v>1813.818</v>
      </c>
      <c r="J24" s="202">
        <f>H24+I24</f>
        <v>3627.636</v>
      </c>
      <c r="K24" s="122">
        <f>K5*Control!J$75</f>
        <v>3710.6741311435376</v>
      </c>
      <c r="L24" s="122">
        <f>L5*Control!K$75</f>
        <v>4365.9884236233029</v>
      </c>
      <c r="M24" s="122">
        <f>M5*Control!L$75</f>
        <v>5143.683521224124</v>
      </c>
      <c r="N24" s="122">
        <f>N5*Control!M$75</f>
        <v>6067.3673796327294</v>
      </c>
      <c r="O24" s="122">
        <f>O5*Control!N$75</f>
        <v>7165.2827251394328</v>
      </c>
    </row>
    <row r="25" spans="1:22" x14ac:dyDescent="0.2">
      <c r="B25" s="93"/>
      <c r="C25" s="464"/>
      <c r="D25" s="489" t="s">
        <v>246</v>
      </c>
      <c r="E25" s="499">
        <f>E24/E$5</f>
        <v>7.3880048279561655E-2</v>
      </c>
      <c r="F25" s="499">
        <f t="shared" ref="F25:O25" si="35">F24/F$5</f>
        <v>5.707393748221231E-2</v>
      </c>
      <c r="G25" s="499">
        <f t="shared" si="35"/>
        <v>4.1785455190850702E-2</v>
      </c>
      <c r="H25" s="500">
        <f t="shared" si="35"/>
        <v>3.3326314629037589E-2</v>
      </c>
      <c r="I25" s="501">
        <f t="shared" si="35"/>
        <v>3.3326314629037589E-2</v>
      </c>
      <c r="J25" s="502">
        <f t="shared" si="35"/>
        <v>3.3326314629037589E-2</v>
      </c>
      <c r="K25" s="503">
        <f t="shared" si="35"/>
        <v>3.3326314629037589E-2</v>
      </c>
      <c r="L25" s="503">
        <f t="shared" si="35"/>
        <v>3.3326314629037589E-2</v>
      </c>
      <c r="M25" s="503">
        <f t="shared" si="35"/>
        <v>3.3326314629037589E-2</v>
      </c>
      <c r="N25" s="503">
        <f t="shared" si="35"/>
        <v>3.3326314629037589E-2</v>
      </c>
      <c r="O25" s="503">
        <f t="shared" si="35"/>
        <v>3.3326314629037589E-2</v>
      </c>
    </row>
    <row r="26" spans="1:22" x14ac:dyDescent="0.2">
      <c r="B26" s="93"/>
      <c r="C26" s="464"/>
      <c r="D26" s="489" t="s">
        <v>244</v>
      </c>
      <c r="E26" s="115">
        <f>E24/E$7</f>
        <v>5.7180013760297979E-3</v>
      </c>
      <c r="F26" s="115">
        <f t="shared" ref="F26:O26" si="36">F24/F$7</f>
        <v>4.4947016299013536E-3</v>
      </c>
      <c r="G26" s="115">
        <f t="shared" si="36"/>
        <v>3.1797720845819439E-3</v>
      </c>
      <c r="H26" s="203">
        <f t="shared" si="36"/>
        <v>2.2899978663259522E-3</v>
      </c>
      <c r="I26" s="362">
        <f t="shared" si="36"/>
        <v>2.2899978663259522E-3</v>
      </c>
      <c r="J26" s="204">
        <f t="shared" si="36"/>
        <v>2.2899978663259522E-3</v>
      </c>
      <c r="K26" s="115">
        <f t="shared" si="36"/>
        <v>2.2760365897159739E-3</v>
      </c>
      <c r="L26" s="126">
        <f t="shared" si="36"/>
        <v>2.261426979304829E-3</v>
      </c>
      <c r="M26" s="126">
        <f t="shared" si="36"/>
        <v>2.2465603607545463E-3</v>
      </c>
      <c r="N26" s="126">
        <f t="shared" si="36"/>
        <v>2.2314393916630058E-3</v>
      </c>
      <c r="O26" s="126">
        <f t="shared" si="36"/>
        <v>2.2160697493035062E-3</v>
      </c>
      <c r="R26" s="504"/>
      <c r="S26" s="504"/>
      <c r="T26" s="504"/>
      <c r="U26" s="504"/>
      <c r="V26" s="504"/>
    </row>
    <row r="27" spans="1:22" x14ac:dyDescent="0.2">
      <c r="B27" s="93"/>
      <c r="C27" s="464" t="s">
        <v>247</v>
      </c>
      <c r="D27" s="464"/>
      <c r="E27" s="125">
        <f>Dart_Cost!C26/1000</f>
        <v>0</v>
      </c>
      <c r="F27" s="125">
        <f>Dart_Cost!D26/1000</f>
        <v>0</v>
      </c>
      <c r="G27" s="125">
        <f>Dart_Cost!E26/1000</f>
        <v>0</v>
      </c>
      <c r="H27" s="201">
        <f>Dart_Cost!F26/1000</f>
        <v>4368.3280000000004</v>
      </c>
      <c r="I27" s="361">
        <f>H27</f>
        <v>4368.3280000000004</v>
      </c>
      <c r="J27" s="202">
        <f>H27+I27</f>
        <v>8736.6560000000009</v>
      </c>
      <c r="K27" s="122">
        <f>K$8*Control!J76</f>
        <v>10483.987200000001</v>
      </c>
      <c r="L27" s="122">
        <f>L$8*Control!K76</f>
        <v>12580.78464</v>
      </c>
      <c r="M27" s="122">
        <f>M$8*Control!L76</f>
        <v>15096.941568</v>
      </c>
      <c r="N27" s="122">
        <f>N$8*Control!M76</f>
        <v>18116.329881599999</v>
      </c>
      <c r="O27" s="122">
        <f>O$8*Control!N76</f>
        <v>21739.595857920001</v>
      </c>
    </row>
    <row r="28" spans="1:22" x14ac:dyDescent="0.2">
      <c r="B28" s="93"/>
      <c r="C28" s="464"/>
      <c r="D28" s="489" t="s">
        <v>248</v>
      </c>
      <c r="E28" s="115"/>
      <c r="F28" s="115"/>
      <c r="G28" s="115"/>
      <c r="H28" s="203">
        <f>H27/H$8</f>
        <v>0.77797471059661627</v>
      </c>
      <c r="I28" s="362">
        <f t="shared" ref="I28:J28" si="37">I27/I$8</f>
        <v>0.77797471059661627</v>
      </c>
      <c r="J28" s="204">
        <f t="shared" si="37"/>
        <v>0.77797471059661627</v>
      </c>
      <c r="K28" s="115">
        <f t="shared" ref="K28" si="38">K27/K$8</f>
        <v>0.77797471059661627</v>
      </c>
      <c r="L28" s="126">
        <f t="shared" ref="L28" si="39">L27/L$8</f>
        <v>0.77797471059661627</v>
      </c>
      <c r="M28" s="126">
        <f t="shared" ref="M28" si="40">M27/M$8</f>
        <v>0.77797471059661627</v>
      </c>
      <c r="N28" s="126">
        <f t="shared" ref="N28" si="41">N27/N$8</f>
        <v>0.77797471059661616</v>
      </c>
      <c r="O28" s="126">
        <f t="shared" ref="O28" si="42">O27/O$8</f>
        <v>0.77797471059661627</v>
      </c>
    </row>
    <row r="29" spans="1:22" x14ac:dyDescent="0.2">
      <c r="B29" s="93"/>
      <c r="C29" s="464" t="s">
        <v>249</v>
      </c>
      <c r="D29" s="464"/>
      <c r="E29" s="125">
        <f>Dart_Cost!C19/1000</f>
        <v>6038.5540000000001</v>
      </c>
      <c r="F29" s="125">
        <f>Dart_Cost!D19/1000</f>
        <v>9360.366</v>
      </c>
      <c r="G29" s="125">
        <f>Dart_Cost!E19/1000</f>
        <v>10811.344999999999</v>
      </c>
      <c r="H29" s="201">
        <f>Dart_Cost!F19/1000</f>
        <v>7607.3180000000002</v>
      </c>
      <c r="I29" s="361">
        <f>H29</f>
        <v>7607.3180000000002</v>
      </c>
      <c r="J29" s="202">
        <f>H29+I29</f>
        <v>15214.636</v>
      </c>
      <c r="K29" s="122">
        <f>K$6*Control!J77</f>
        <v>15481.993558678199</v>
      </c>
      <c r="L29" s="122">
        <f>L$6*Control!K77</f>
        <v>18362.162150450244</v>
      </c>
      <c r="M29" s="122">
        <f>M$6*Control!L77</f>
        <v>21806.387691163953</v>
      </c>
      <c r="N29" s="122">
        <f>N$6*Control!M77</f>
        <v>25928.7014012703</v>
      </c>
      <c r="O29" s="122">
        <f>O$6*Control!N77</f>
        <v>30866.616587952365</v>
      </c>
    </row>
    <row r="30" spans="1:22" x14ac:dyDescent="0.2">
      <c r="B30" s="93"/>
      <c r="C30" s="464"/>
      <c r="D30" s="489" t="s">
        <v>241</v>
      </c>
      <c r="E30" s="115">
        <f>E29/E$6</f>
        <v>8.1294152016079639E-3</v>
      </c>
      <c r="F30" s="115">
        <f t="shared" ref="F30:J30" si="43">F29/F$6</f>
        <v>7.8966707048346661E-3</v>
      </c>
      <c r="G30" s="115">
        <f t="shared" si="43"/>
        <v>8.1711364251304108E-3</v>
      </c>
      <c r="H30" s="203">
        <f t="shared" si="43"/>
        <v>8.3543194759412905E-3</v>
      </c>
      <c r="I30" s="362">
        <f t="shared" si="43"/>
        <v>8.3543194759412905E-3</v>
      </c>
      <c r="J30" s="204">
        <f t="shared" si="43"/>
        <v>8.3543194759412905E-3</v>
      </c>
      <c r="K30" s="115">
        <f>K29/K$6</f>
        <v>8.1378854518785841E-3</v>
      </c>
      <c r="L30" s="115">
        <f t="shared" ref="L30:O30" si="44">L29/L$6</f>
        <v>8.1378854518785841E-3</v>
      </c>
      <c r="M30" s="115">
        <f t="shared" si="44"/>
        <v>8.1378854518785841E-3</v>
      </c>
      <c r="N30" s="115">
        <f t="shared" si="44"/>
        <v>8.1378854518785841E-3</v>
      </c>
      <c r="O30" s="115">
        <f t="shared" si="44"/>
        <v>8.1378854518785841E-3</v>
      </c>
    </row>
    <row r="31" spans="1:22" x14ac:dyDescent="0.2">
      <c r="B31" s="93"/>
      <c r="C31" s="464" t="s">
        <v>250</v>
      </c>
      <c r="D31" s="464"/>
      <c r="E31" s="125">
        <f>Dart_Cost!C23/1000</f>
        <v>468.221</v>
      </c>
      <c r="F31" s="125">
        <f>Dart_Cost!D23/1000</f>
        <v>594.29200000000003</v>
      </c>
      <c r="G31" s="125">
        <f>Dart_Cost!E23/1000</f>
        <v>693.46299999999997</v>
      </c>
      <c r="H31" s="201">
        <f>Dart_Cost!F23/1000</f>
        <v>349.91199999999998</v>
      </c>
      <c r="I31" s="361">
        <f>H31</f>
        <v>349.91199999999998</v>
      </c>
      <c r="J31" s="202">
        <f>H31+I31</f>
        <v>699.82399999999996</v>
      </c>
      <c r="K31" s="122">
        <f>K$6*Control!J78</f>
        <v>970.29739510249874</v>
      </c>
      <c r="L31" s="122">
        <f>L$6*Control!K78</f>
        <v>1150.8051618484658</v>
      </c>
      <c r="M31" s="122">
        <f>M$6*Control!L78</f>
        <v>1366.663866196443</v>
      </c>
      <c r="N31" s="122">
        <f>N$6*Control!M78</f>
        <v>1625.0201456737354</v>
      </c>
      <c r="O31" s="122">
        <f>O$6*Control!N78</f>
        <v>1934.4923221551044</v>
      </c>
    </row>
    <row r="32" spans="1:22" x14ac:dyDescent="0.2">
      <c r="B32" s="93"/>
      <c r="C32" s="464"/>
      <c r="D32" s="489" t="s">
        <v>241</v>
      </c>
      <c r="E32" s="126">
        <f>E31/E$6</f>
        <v>6.3034344233935515E-4</v>
      </c>
      <c r="F32" s="126">
        <f>F31/F$6</f>
        <v>5.0136161625705697E-4</v>
      </c>
      <c r="G32" s="126">
        <f>G31/G$6</f>
        <v>5.2411432423812312E-4</v>
      </c>
      <c r="H32" s="215">
        <f>H31/H$6</f>
        <v>3.8427164954397443E-4</v>
      </c>
      <c r="I32" s="362">
        <f t="shared" ref="I32" si="45">I31/I$6</f>
        <v>3.8427164954397443E-4</v>
      </c>
      <c r="J32" s="204">
        <f t="shared" ref="J32" si="46">J31/J$6</f>
        <v>3.8427164954397443E-4</v>
      </c>
      <c r="K32" s="115">
        <f>K31/K$6</f>
        <v>5.1002275809462739E-4</v>
      </c>
      <c r="L32" s="115">
        <f t="shared" ref="L32" si="47">L31/L$6</f>
        <v>5.1002275809462739E-4</v>
      </c>
      <c r="M32" s="115">
        <f t="shared" ref="M32" si="48">M31/M$6</f>
        <v>5.1002275809462739E-4</v>
      </c>
      <c r="N32" s="115">
        <f t="shared" ref="N32" si="49">N31/N$6</f>
        <v>5.1002275809462739E-4</v>
      </c>
      <c r="O32" s="115">
        <f t="shared" ref="O32" si="50">O31/O$6</f>
        <v>5.1002275809462739E-4</v>
      </c>
    </row>
    <row r="33" spans="2:15" x14ac:dyDescent="0.2">
      <c r="B33" s="93"/>
      <c r="C33" s="464" t="s">
        <v>251</v>
      </c>
      <c r="D33" s="464"/>
      <c r="E33" s="125">
        <f>Dart_Cost!C12/1000</f>
        <v>1802.771</v>
      </c>
      <c r="F33" s="125">
        <f>Dart_Cost!D12/1000</f>
        <v>3765.01</v>
      </c>
      <c r="G33" s="125">
        <f>Dart_Cost!E12/1000</f>
        <v>5220.3829999999998</v>
      </c>
      <c r="H33" s="201">
        <f>Dart_Cost!F12/1000</f>
        <v>2969.2820000000002</v>
      </c>
      <c r="I33" s="361">
        <f>H33</f>
        <v>2969.2820000000002</v>
      </c>
      <c r="J33" s="202">
        <f>H33+I33</f>
        <v>5938.5640000000003</v>
      </c>
      <c r="K33" s="122">
        <f>K$6*Control!J79</f>
        <v>6092.4500484144928</v>
      </c>
      <c r="L33" s="122">
        <f>L$6*Control!K79</f>
        <v>7225.8495172798976</v>
      </c>
      <c r="M33" s="122">
        <f>M$6*Control!L79</f>
        <v>8581.2158002292617</v>
      </c>
      <c r="N33" s="122">
        <f>N$6*Control!M79</f>
        <v>10203.422285946297</v>
      </c>
      <c r="O33" s="122">
        <f>O$6*Control!N79</f>
        <v>12146.582997397742</v>
      </c>
    </row>
    <row r="34" spans="2:15" x14ac:dyDescent="0.2">
      <c r="B34" s="93"/>
      <c r="C34" s="464"/>
      <c r="D34" s="489" t="s">
        <v>241</v>
      </c>
      <c r="E34" s="115">
        <f>E33/E$6</f>
        <v>2.4269840051803775E-3</v>
      </c>
      <c r="F34" s="115">
        <f t="shared" ref="F34" si="51">F33/F$6</f>
        <v>3.1762694076716193E-3</v>
      </c>
      <c r="G34" s="115">
        <f t="shared" ref="G34" si="52">G33/G$6</f>
        <v>3.9455277474201014E-3</v>
      </c>
      <c r="H34" s="203">
        <f t="shared" ref="H34" si="53">H33/H$6</f>
        <v>3.2608509913956414E-3</v>
      </c>
      <c r="I34" s="362">
        <f t="shared" ref="I34" si="54">I33/I$6</f>
        <v>3.2608509913956414E-3</v>
      </c>
      <c r="J34" s="204">
        <f t="shared" ref="J34" si="55">J33/J$6</f>
        <v>3.2608509913956414E-3</v>
      </c>
      <c r="K34" s="115">
        <f>K33/K$6</f>
        <v>3.2024080379169347E-3</v>
      </c>
      <c r="L34" s="115">
        <f t="shared" ref="L34" si="56">L33/L$6</f>
        <v>3.2024080379169347E-3</v>
      </c>
      <c r="M34" s="115">
        <f t="shared" ref="M34" si="57">M33/M$6</f>
        <v>3.2024080379169347E-3</v>
      </c>
      <c r="N34" s="115">
        <f t="shared" ref="N34" si="58">N33/N$6</f>
        <v>3.2024080379169347E-3</v>
      </c>
      <c r="O34" s="115">
        <f t="shared" ref="O34" si="59">O33/O$6</f>
        <v>3.2024080379169347E-3</v>
      </c>
    </row>
    <row r="35" spans="2:15" x14ac:dyDescent="0.2">
      <c r="B35" s="93"/>
      <c r="C35" s="464" t="s">
        <v>252</v>
      </c>
      <c r="D35" s="464"/>
      <c r="E35" s="125">
        <f>Dart_Cost!C22/1000</f>
        <v>232.94499999999999</v>
      </c>
      <c r="F35" s="125">
        <f>Dart_Cost!D22/1000</f>
        <v>267.44</v>
      </c>
      <c r="G35" s="125">
        <f>Dart_Cost!E22/1000</f>
        <v>376.68299999999999</v>
      </c>
      <c r="H35" s="201">
        <f>Dart_Cost!F22/1000</f>
        <v>153.23599999999999</v>
      </c>
      <c r="I35" s="361">
        <f>H35</f>
        <v>153.23599999999999</v>
      </c>
      <c r="J35" s="202">
        <f>H35+I35</f>
        <v>306.47199999999998</v>
      </c>
      <c r="K35" s="122">
        <f>K$6*Control!J80</f>
        <v>471.90494173102871</v>
      </c>
      <c r="L35" s="122">
        <f>L$6*Control!K80</f>
        <v>559.6950435886713</v>
      </c>
      <c r="M35" s="122">
        <f>M$6*Control!L80</f>
        <v>664.67810322752246</v>
      </c>
      <c r="N35" s="122">
        <f>N$6*Control!M80</f>
        <v>790.32989372799886</v>
      </c>
      <c r="O35" s="122">
        <f>O$6*Control!N80</f>
        <v>940.84194307178552</v>
      </c>
    </row>
    <row r="36" spans="2:15" x14ac:dyDescent="0.2">
      <c r="B36" s="93"/>
      <c r="C36" s="464"/>
      <c r="D36" s="489" t="s">
        <v>241</v>
      </c>
      <c r="E36" s="126">
        <f>E35/E$6</f>
        <v>3.1360266450189352E-4</v>
      </c>
      <c r="F36" s="126">
        <f>F35/F$6</f>
        <v>2.2561998252001929E-4</v>
      </c>
      <c r="G36" s="126">
        <f>G35/G$6</f>
        <v>2.8469428938096038E-4</v>
      </c>
      <c r="H36" s="215">
        <f>H35/H$6</f>
        <v>1.682830268453796E-4</v>
      </c>
      <c r="I36" s="371">
        <f t="shared" ref="I36" si="60">I35/I$6</f>
        <v>1.682830268453796E-4</v>
      </c>
      <c r="J36" s="216">
        <f t="shared" ref="J36" si="61">J35/J$6</f>
        <v>1.682830268453796E-4</v>
      </c>
      <c r="K36" s="115">
        <f>K35/K$6</f>
        <v>2.4804999081206322E-4</v>
      </c>
      <c r="L36" s="115">
        <f t="shared" ref="L36" si="62">L35/L$6</f>
        <v>2.4804999081206322E-4</v>
      </c>
      <c r="M36" s="115">
        <f t="shared" ref="M36" si="63">M35/M$6</f>
        <v>2.4804999081206322E-4</v>
      </c>
      <c r="N36" s="115">
        <f t="shared" ref="N36" si="64">N35/N$6</f>
        <v>2.4804999081206322E-4</v>
      </c>
      <c r="O36" s="115">
        <f t="shared" ref="O36" si="65">O35/O$6</f>
        <v>2.4804999081206322E-4</v>
      </c>
    </row>
    <row r="37" spans="2:15" x14ac:dyDescent="0.2">
      <c r="B37" s="93"/>
      <c r="C37" s="464" t="s">
        <v>253</v>
      </c>
      <c r="D37" s="464"/>
      <c r="E37" s="125">
        <f>Dart_Cost!C21/1000</f>
        <v>413.47699999999998</v>
      </c>
      <c r="F37" s="125">
        <f>Dart_Cost!D21/1000</f>
        <v>504.02</v>
      </c>
      <c r="G37" s="125">
        <f>Dart_Cost!E21/1000</f>
        <v>618.27</v>
      </c>
      <c r="H37" s="201">
        <f>Dart_Cost!F21/1000</f>
        <v>315.98200000000003</v>
      </c>
      <c r="I37" s="361">
        <f>H37</f>
        <v>315.98200000000003</v>
      </c>
      <c r="J37" s="202">
        <f>H37+I37</f>
        <v>631.96400000000006</v>
      </c>
      <c r="K37" s="122">
        <f>K$6*Control!J81</f>
        <v>854.27244661752206</v>
      </c>
      <c r="L37" s="122">
        <f>L$6*Control!K81</f>
        <v>1013.1956925314748</v>
      </c>
      <c r="M37" s="122">
        <f>M$6*Control!L81</f>
        <v>1203.2427280257373</v>
      </c>
      <c r="N37" s="122">
        <f>N$6*Control!M81</f>
        <v>1430.7056193846822</v>
      </c>
      <c r="O37" s="122">
        <f>O$6*Control!N81</f>
        <v>1703.1721381006898</v>
      </c>
    </row>
    <row r="38" spans="2:15" x14ac:dyDescent="0.2">
      <c r="B38" s="93"/>
      <c r="C38" s="464"/>
      <c r="D38" s="489" t="s">
        <v>241</v>
      </c>
      <c r="E38" s="126">
        <f>E37/E$6</f>
        <v>5.5664422464637325E-4</v>
      </c>
      <c r="F38" s="126">
        <f>F37/F$6</f>
        <v>4.2520559224401783E-4</v>
      </c>
      <c r="G38" s="126">
        <f>G37/G$6</f>
        <v>4.6728399820423637E-4</v>
      </c>
      <c r="H38" s="215">
        <f>H37/H$6</f>
        <v>3.4700988924702255E-4</v>
      </c>
      <c r="I38" s="371">
        <f t="shared" ref="I38" si="66">I37/I$6</f>
        <v>3.4700988924702255E-4</v>
      </c>
      <c r="J38" s="216">
        <f t="shared" ref="J38" si="67">J37/J$6</f>
        <v>3.4700988924702255E-4</v>
      </c>
      <c r="K38" s="115">
        <f>K37/K$6</f>
        <v>4.4903592608541254E-4</v>
      </c>
      <c r="L38" s="115">
        <f t="shared" ref="L38" si="68">L37/L$6</f>
        <v>4.4903592608541254E-4</v>
      </c>
      <c r="M38" s="115">
        <f t="shared" ref="M38" si="69">M37/M$6</f>
        <v>4.4903592608541259E-4</v>
      </c>
      <c r="N38" s="115">
        <f t="shared" ref="N38" si="70">N37/N$6</f>
        <v>4.4903592608541259E-4</v>
      </c>
      <c r="O38" s="115">
        <f t="shared" ref="O38" si="71">O37/O$6</f>
        <v>4.4903592608541254E-4</v>
      </c>
    </row>
    <row r="39" spans="2:15" x14ac:dyDescent="0.2">
      <c r="B39" s="93"/>
      <c r="C39" s="464" t="s">
        <v>254</v>
      </c>
      <c r="D39" s="464"/>
      <c r="E39" s="125">
        <f>Dart_Cost!C16/1000</f>
        <v>235.40100000000001</v>
      </c>
      <c r="F39" s="125">
        <f>Dart_Cost!D16/1000</f>
        <v>341.83199999999999</v>
      </c>
      <c r="G39" s="125">
        <f>Dart_Cost!E16/1000</f>
        <v>349.41300000000001</v>
      </c>
      <c r="H39" s="201">
        <f>Dart_Cost!F16/1000</f>
        <v>1572.558</v>
      </c>
      <c r="I39" s="361">
        <f>H39</f>
        <v>1572.558</v>
      </c>
      <c r="J39" s="202">
        <f>H39+I39</f>
        <v>3145.116</v>
      </c>
      <c r="K39" s="122">
        <f>K$6*Control!J82</f>
        <v>1234.8612176864985</v>
      </c>
      <c r="L39" s="122">
        <f>L$6*Control!K82</f>
        <v>1464.5867036775733</v>
      </c>
      <c r="M39" s="122">
        <f>M$6*Control!L82</f>
        <v>1739.3020062691205</v>
      </c>
      <c r="N39" s="122">
        <f>N$6*Control!M82</f>
        <v>2068.1023838467404</v>
      </c>
      <c r="O39" s="122">
        <f>O$6*Control!N82</f>
        <v>2461.9560524423414</v>
      </c>
    </row>
    <row r="40" spans="2:15" x14ac:dyDescent="0.2">
      <c r="B40" s="93"/>
      <c r="C40" s="464"/>
      <c r="D40" s="489" t="s">
        <v>241</v>
      </c>
      <c r="E40" s="126">
        <f>E39/E$6</f>
        <v>3.1690905933336297E-4</v>
      </c>
      <c r="F40" s="126">
        <f>F39/F$6</f>
        <v>2.8837918734962324E-4</v>
      </c>
      <c r="G40" s="126">
        <f>G39/G$6</f>
        <v>2.6408382044177601E-4</v>
      </c>
      <c r="H40" s="215">
        <f>H39/H$6</f>
        <v>1.7269755157398815E-3</v>
      </c>
      <c r="I40" s="371">
        <f t="shared" ref="I40" si="72">I39/I$6</f>
        <v>1.7269755157398815E-3</v>
      </c>
      <c r="J40" s="216">
        <f t="shared" ref="J40" si="73">J39/J$6</f>
        <v>1.7269755157398815E-3</v>
      </c>
      <c r="K40" s="115">
        <f>K39/K$6</f>
        <v>6.4908689571616086E-4</v>
      </c>
      <c r="L40" s="115">
        <f t="shared" ref="L40" si="74">L39/L$6</f>
        <v>6.4908689571616086E-4</v>
      </c>
      <c r="M40" s="115">
        <f t="shared" ref="M40" si="75">M39/M$6</f>
        <v>6.4908689571616086E-4</v>
      </c>
      <c r="N40" s="115">
        <f t="shared" ref="N40" si="76">N39/N$6</f>
        <v>6.4908689571616075E-4</v>
      </c>
      <c r="O40" s="115">
        <f t="shared" ref="O40" si="77">O39/O$6</f>
        <v>6.4908689571616086E-4</v>
      </c>
    </row>
    <row r="41" spans="2:15" x14ac:dyDescent="0.2">
      <c r="B41" s="93"/>
      <c r="C41" s="464" t="s">
        <v>255</v>
      </c>
      <c r="D41" s="464"/>
      <c r="E41" s="125">
        <f>Dart_Cost!C27/1000</f>
        <v>11694.027</v>
      </c>
      <c r="F41" s="125">
        <f>Dart_Cost!D27/1000</f>
        <v>15664.953</v>
      </c>
      <c r="G41" s="125">
        <f>Dart_Cost!E27/1000</f>
        <v>18805.05</v>
      </c>
      <c r="H41" s="201">
        <f>Dart_Cost!F27/1000</f>
        <v>9504.9549999999999</v>
      </c>
      <c r="I41" s="361">
        <f>H41</f>
        <v>9504.9549999999999</v>
      </c>
      <c r="J41" s="202">
        <f>H41+I41</f>
        <v>19009.91</v>
      </c>
      <c r="K41" s="122">
        <f>K$6*Control!J83</f>
        <v>27377.163475160734</v>
      </c>
      <c r="L41" s="122">
        <f>L$6*Control!K83</f>
        <v>32470.231501194638</v>
      </c>
      <c r="M41" s="122">
        <f>M$6*Control!L83</f>
        <v>38560.734337025395</v>
      </c>
      <c r="N41" s="122">
        <f>N$6*Control!M83</f>
        <v>45850.315999085797</v>
      </c>
      <c r="O41" s="122">
        <f>O$6*Control!N83</f>
        <v>54582.144415103779</v>
      </c>
    </row>
    <row r="42" spans="2:15" x14ac:dyDescent="0.2">
      <c r="D42" s="489" t="s">
        <v>241</v>
      </c>
      <c r="E42" s="126">
        <f>E41/E$6</f>
        <v>1.5743106853364889E-2</v>
      </c>
      <c r="F42" s="126">
        <f>F41/F$6</f>
        <v>1.3215399424307972E-2</v>
      </c>
      <c r="G42" s="126">
        <f>G41/G$6</f>
        <v>1.4212720899332936E-2</v>
      </c>
      <c r="H42" s="215">
        <f>H41/H$6</f>
        <v>1.0438295161901414E-2</v>
      </c>
      <c r="I42" s="371">
        <f t="shared" ref="I42" si="78">I41/I$6</f>
        <v>1.0438295161901414E-2</v>
      </c>
      <c r="J42" s="216">
        <f t="shared" ref="J42" si="79">J41/J$6</f>
        <v>1.0438295161901414E-2</v>
      </c>
      <c r="K42" s="115">
        <f>K41/K$6</f>
        <v>1.439040905900193E-2</v>
      </c>
      <c r="L42" s="115">
        <f t="shared" ref="L42" si="80">L41/L$6</f>
        <v>1.439040905900193E-2</v>
      </c>
      <c r="M42" s="115">
        <f t="shared" ref="M42" si="81">M41/M$6</f>
        <v>1.439040905900193E-2</v>
      </c>
      <c r="N42" s="115">
        <f t="shared" ref="N42" si="82">N41/N$6</f>
        <v>1.439040905900193E-2</v>
      </c>
      <c r="O42" s="115">
        <f t="shared" ref="O42" si="83">O41/O$6</f>
        <v>1.439040905900193E-2</v>
      </c>
    </row>
    <row r="43" spans="2:15" x14ac:dyDescent="0.2">
      <c r="B43" s="465" t="s">
        <v>256</v>
      </c>
      <c r="C43" s="464"/>
      <c r="D43" s="489"/>
      <c r="E43" s="100">
        <f>E45+E49+E51+E53+E55+E47</f>
        <v>5220.3519999999999</v>
      </c>
      <c r="F43" s="100">
        <f t="shared" ref="F43:H43" si="84">F45+F49+F51+F53+F55+F47</f>
        <v>4854.2910000000002</v>
      </c>
      <c r="G43" s="100">
        <f t="shared" si="84"/>
        <v>4806.9209999999994</v>
      </c>
      <c r="H43" s="506">
        <f t="shared" si="84"/>
        <v>5592.7879999999996</v>
      </c>
      <c r="I43" s="507">
        <f t="shared" ref="I43" si="85">I45+I49+I51+I53+I55+I47</f>
        <v>5592.7879999999996</v>
      </c>
      <c r="J43" s="508">
        <f t="shared" ref="J43" si="86">J45+J49+J51+J53+J55+J47</f>
        <v>11185.575999999999</v>
      </c>
      <c r="K43" s="494">
        <f t="shared" ref="K43" si="87">K45+K49+K51+K53+K55+K47</f>
        <v>11409.28752</v>
      </c>
      <c r="L43" s="494">
        <f t="shared" ref="L43" si="88">L45+L49+L51+L53+L55+L47</f>
        <v>11637.4732704</v>
      </c>
      <c r="M43" s="494">
        <f t="shared" ref="M43" si="89">M45+M49+M51+M53+M55+M47</f>
        <v>11870.222735807998</v>
      </c>
      <c r="N43" s="494">
        <f t="shared" ref="N43" si="90">N45+N49+N51+N53+N55+N47</f>
        <v>12107.627190524159</v>
      </c>
      <c r="O43" s="494">
        <f t="shared" ref="O43" si="91">O45+O49+O51+O53+O55+O47</f>
        <v>12349.779734334643</v>
      </c>
    </row>
    <row r="44" spans="2:15" x14ac:dyDescent="0.2">
      <c r="B44" s="465"/>
      <c r="C44" s="489" t="s">
        <v>241</v>
      </c>
      <c r="D44" s="489"/>
      <c r="E44" s="126">
        <f>E43/E$6</f>
        <v>7.0279091495322448E-3</v>
      </c>
      <c r="F44" s="126">
        <f t="shared" ref="F44" si="92">F43/F$6</f>
        <v>4.0952178079834249E-3</v>
      </c>
      <c r="G44" s="126">
        <f t="shared" ref="G44" si="93">G43/G$6</f>
        <v>3.6330361556147083E-3</v>
      </c>
      <c r="H44" s="215">
        <f t="shared" ref="H44" si="94">H43/H$6</f>
        <v>6.141972468248433E-3</v>
      </c>
      <c r="I44" s="371">
        <f t="shared" ref="I44" si="95">I43/I$6</f>
        <v>6.141972468248433E-3</v>
      </c>
      <c r="J44" s="216">
        <f t="shared" ref="J44" si="96">J43/J$6</f>
        <v>6.141972468248433E-3</v>
      </c>
      <c r="K44" s="126">
        <f t="shared" ref="K44" si="97">K43/K$6</f>
        <v>5.9971265698701721E-3</v>
      </c>
      <c r="L44" s="126">
        <f t="shared" ref="L44" si="98">L43/L$6</f>
        <v>5.1575856725288678E-3</v>
      </c>
      <c r="M44" s="126">
        <f t="shared" ref="M44" si="99">M43/M$6</f>
        <v>4.4298264472034709E-3</v>
      </c>
      <c r="N44" s="126">
        <f t="shared" ref="N44" si="100">N43/N$6</f>
        <v>3.8000546824805085E-3</v>
      </c>
      <c r="O44" s="126">
        <f t="shared" ref="O44" si="101">O43/O$6</f>
        <v>3.2559802123946981E-3</v>
      </c>
    </row>
    <row r="45" spans="2:15" x14ac:dyDescent="0.2">
      <c r="B45" s="93"/>
      <c r="C45" s="464" t="s">
        <v>257</v>
      </c>
      <c r="D45" s="464"/>
      <c r="E45" s="125">
        <f>Dart_Cost!C11/1000</f>
        <v>298.81900000000002</v>
      </c>
      <c r="F45" s="125">
        <f>Dart_Cost!D11/1000</f>
        <v>406.29500000000002</v>
      </c>
      <c r="G45" s="125">
        <f>Dart_Cost!E11/1000</f>
        <v>306.75299999999999</v>
      </c>
      <c r="H45" s="201">
        <f>Dart_Cost!F11/1000</f>
        <v>182.523</v>
      </c>
      <c r="I45" s="361">
        <f>H45</f>
        <v>182.523</v>
      </c>
      <c r="J45" s="202">
        <f>H45+I45</f>
        <v>365.04599999999999</v>
      </c>
      <c r="K45" s="122">
        <f>J45*(1+Control!J87)</f>
        <v>372.34692000000001</v>
      </c>
      <c r="L45" s="122">
        <f>K45*(1+Control!K87)</f>
        <v>379.79385840000003</v>
      </c>
      <c r="M45" s="122">
        <f>L45*(1+Control!L87)</f>
        <v>387.38973556800005</v>
      </c>
      <c r="N45" s="122">
        <f>M45*(1+Control!M87)</f>
        <v>395.13753027936008</v>
      </c>
      <c r="O45" s="122">
        <f>N45*(1+Control!N87)</f>
        <v>403.04028088494726</v>
      </c>
    </row>
    <row r="46" spans="2:15" x14ac:dyDescent="0.2">
      <c r="B46" s="93"/>
      <c r="C46" s="464"/>
      <c r="D46" s="489" t="s">
        <v>241</v>
      </c>
      <c r="E46" s="126">
        <f t="shared" ref="E46:J46" si="102">E45/E$6</f>
        <v>4.0228566658993034E-4</v>
      </c>
      <c r="F46" s="126">
        <f t="shared" si="102"/>
        <v>3.4276200567593198E-4</v>
      </c>
      <c r="G46" s="126">
        <f t="shared" si="102"/>
        <v>2.3184170071513112E-4</v>
      </c>
      <c r="H46" s="215">
        <f t="shared" si="102"/>
        <v>2.0044586721722847E-4</v>
      </c>
      <c r="I46" s="215">
        <f t="shared" si="102"/>
        <v>2.0044586721722847E-4</v>
      </c>
      <c r="J46" s="216">
        <f t="shared" si="102"/>
        <v>2.0044586721722847E-4</v>
      </c>
      <c r="K46" s="115">
        <f t="shared" ref="K46:O46" si="103">K45/K$6</f>
        <v>1.9571876010898563E-4</v>
      </c>
      <c r="L46" s="115">
        <f t="shared" si="103"/>
        <v>1.6831998811808827E-4</v>
      </c>
      <c r="M46" s="115">
        <f t="shared" si="103"/>
        <v>1.4456925823451905E-4</v>
      </c>
      <c r="N46" s="115">
        <f t="shared" si="103"/>
        <v>1.2401639053909964E-4</v>
      </c>
      <c r="O46" s="115">
        <f t="shared" si="103"/>
        <v>1.0626029027149207E-4</v>
      </c>
    </row>
    <row r="47" spans="2:15" x14ac:dyDescent="0.2">
      <c r="B47" s="93"/>
      <c r="C47" s="464" t="s">
        <v>258</v>
      </c>
      <c r="D47" s="464"/>
      <c r="E47" s="125">
        <f>Dart_Cost!C13/1000</f>
        <v>0</v>
      </c>
      <c r="F47" s="125">
        <f>Dart_Cost!D13/1000</f>
        <v>1.5</v>
      </c>
      <c r="G47" s="125">
        <f>Dart_Cost!E13/1000</f>
        <v>6.4</v>
      </c>
      <c r="H47" s="201">
        <f>Dart_Cost!F13/1000</f>
        <v>0</v>
      </c>
      <c r="I47" s="361">
        <f>H47</f>
        <v>0</v>
      </c>
      <c r="J47" s="202">
        <f>H47+I47</f>
        <v>0</v>
      </c>
      <c r="K47" s="122">
        <f>J47*(1+Control!J88)</f>
        <v>0</v>
      </c>
      <c r="L47" s="122">
        <f>K47*(1+Control!K88)</f>
        <v>0</v>
      </c>
      <c r="M47" s="122">
        <f>L47*(1+Control!L88)</f>
        <v>0</v>
      </c>
      <c r="N47" s="122">
        <f>M47*(1+Control!M88)</f>
        <v>0</v>
      </c>
      <c r="O47" s="122">
        <f>N47*(1+Control!N88)</f>
        <v>0</v>
      </c>
    </row>
    <row r="48" spans="2:15" x14ac:dyDescent="0.2">
      <c r="B48" s="93"/>
      <c r="C48" s="93"/>
      <c r="D48" s="489" t="s">
        <v>241</v>
      </c>
      <c r="E48" s="115">
        <f>E47/E$6</f>
        <v>0</v>
      </c>
      <c r="F48" s="115">
        <f t="shared" ref="F48" si="104">F47/F$6</f>
        <v>1.2654426180826689E-6</v>
      </c>
      <c r="G48" s="115">
        <f t="shared" ref="G48" si="105">G47/G$6</f>
        <v>4.8370737517704451E-6</v>
      </c>
      <c r="H48" s="203">
        <f t="shared" ref="H48" si="106">H47/H$6</f>
        <v>0</v>
      </c>
      <c r="I48" s="215">
        <f>I47/I$6</f>
        <v>0</v>
      </c>
      <c r="J48" s="216">
        <f>J47/J$6</f>
        <v>0</v>
      </c>
      <c r="K48" s="115">
        <f t="shared" ref="K48" si="107">K47/K$6</f>
        <v>0</v>
      </c>
      <c r="L48" s="115">
        <f t="shared" ref="L48" si="108">L47/L$6</f>
        <v>0</v>
      </c>
      <c r="M48" s="115">
        <f t="shared" ref="M48" si="109">M47/M$6</f>
        <v>0</v>
      </c>
      <c r="N48" s="115">
        <f t="shared" ref="N48" si="110">N47/N$6</f>
        <v>0</v>
      </c>
      <c r="O48" s="115">
        <f t="shared" ref="O48" si="111">O47/O$6</f>
        <v>0</v>
      </c>
    </row>
    <row r="49" spans="2:15" x14ac:dyDescent="0.2">
      <c r="B49" s="93"/>
      <c r="C49" s="464" t="s">
        <v>259</v>
      </c>
      <c r="D49" s="464"/>
      <c r="E49" s="125">
        <f>Dart_Cost!C10/1000</f>
        <v>811.03499999999997</v>
      </c>
      <c r="F49" s="125">
        <f>Dart_Cost!D10/1000</f>
        <v>1648.6210000000001</v>
      </c>
      <c r="G49" s="125">
        <f>Dart_Cost!E10/1000</f>
        <v>1293.548</v>
      </c>
      <c r="H49" s="201">
        <f>Dart_Cost!F10/1000</f>
        <v>721.30700000000002</v>
      </c>
      <c r="I49" s="361">
        <f>H49</f>
        <v>721.30700000000002</v>
      </c>
      <c r="J49" s="202">
        <f>H49+I49</f>
        <v>1442.614</v>
      </c>
      <c r="K49" s="122">
        <f>J49*(1+Control!J89)</f>
        <v>1471.4662800000001</v>
      </c>
      <c r="L49" s="122">
        <f>K49*(1+Control!K89)</f>
        <v>1500.8956056000002</v>
      </c>
      <c r="M49" s="122">
        <f>L49*(1+Control!L89)</f>
        <v>1530.9135177120002</v>
      </c>
      <c r="N49" s="122">
        <f>M49*(1+Control!M89)</f>
        <v>1561.5317880662401</v>
      </c>
      <c r="O49" s="122">
        <f>N49*(1+Control!N89)</f>
        <v>1592.7624238275648</v>
      </c>
    </row>
    <row r="50" spans="2:15" x14ac:dyDescent="0.2">
      <c r="B50" s="93"/>
      <c r="C50" s="464"/>
      <c r="D50" s="489" t="s">
        <v>241</v>
      </c>
      <c r="E50" s="115">
        <f t="shared" ref="E50:J50" si="112">E49/E$6</f>
        <v>1.0918574642267195E-3</v>
      </c>
      <c r="F50" s="115">
        <f t="shared" si="112"/>
        <v>1.3908235163107119E-3</v>
      </c>
      <c r="G50" s="115">
        <f t="shared" si="112"/>
        <v>9.7765423085236793E-4</v>
      </c>
      <c r="H50" s="203">
        <f t="shared" si="112"/>
        <v>7.9213582477198727E-4</v>
      </c>
      <c r="I50" s="215">
        <f t="shared" si="112"/>
        <v>7.9213582477198727E-4</v>
      </c>
      <c r="J50" s="216">
        <f t="shared" si="112"/>
        <v>7.9213582477198727E-4</v>
      </c>
      <c r="K50" s="115">
        <f t="shared" ref="K50" si="113">K49/K$6</f>
        <v>7.7345491635537485E-4</v>
      </c>
      <c r="L50" s="115">
        <f t="shared" ref="L50" si="114">L49/L$6</f>
        <v>6.6517855650791353E-4</v>
      </c>
      <c r="M50" s="115">
        <f t="shared" ref="M50" si="115">M49/M$6</f>
        <v>5.7131878146516452E-4</v>
      </c>
      <c r="N50" s="115">
        <f t="shared" ref="N50" si="116">N49/N$6</f>
        <v>4.9009653912430952E-4</v>
      </c>
      <c r="O50" s="115">
        <f t="shared" ref="O50" si="117">O49/O$6</f>
        <v>4.1992675550401383E-4</v>
      </c>
    </row>
    <row r="51" spans="2:15" x14ac:dyDescent="0.2">
      <c r="B51" s="93"/>
      <c r="C51" s="464" t="s">
        <v>260</v>
      </c>
      <c r="D51" s="464"/>
      <c r="E51" s="125">
        <f>Dart_Cost!C15/1000</f>
        <v>1677.4069999999999</v>
      </c>
      <c r="F51" s="125">
        <f>Dart_Cost!D15/1000</f>
        <v>1566.864</v>
      </c>
      <c r="G51" s="125">
        <f>Dart_Cost!E15/1000</f>
        <v>1861.07</v>
      </c>
      <c r="H51" s="201">
        <f>Dart_Cost!F15/1000</f>
        <v>1190.181</v>
      </c>
      <c r="I51" s="361">
        <f>H51</f>
        <v>1190.181</v>
      </c>
      <c r="J51" s="202">
        <f>H51+I51</f>
        <v>2380.3620000000001</v>
      </c>
      <c r="K51" s="122">
        <f>J51*(1+Control!J90)</f>
        <v>2427.9692399999999</v>
      </c>
      <c r="L51" s="122">
        <f>K51*(1+Control!K90)</f>
        <v>2476.5286247999998</v>
      </c>
      <c r="M51" s="122">
        <f>L51*(1+Control!L90)</f>
        <v>2526.0591972959996</v>
      </c>
      <c r="N51" s="122">
        <f>M51*(1+Control!M90)</f>
        <v>2576.5803812419199</v>
      </c>
      <c r="O51" s="122">
        <f>N51*(1+Control!N90)</f>
        <v>2628.1119888667586</v>
      </c>
    </row>
    <row r="52" spans="2:15" x14ac:dyDescent="0.2">
      <c r="B52" s="93"/>
      <c r="C52" s="464"/>
      <c r="D52" s="489" t="s">
        <v>241</v>
      </c>
      <c r="E52" s="115">
        <f>E51/E$6</f>
        <v>2.2582124735629769E-3</v>
      </c>
      <c r="F52" s="115">
        <f t="shared" ref="F52" si="118">F51/F$6</f>
        <v>1.3218509882263218E-3</v>
      </c>
      <c r="G52" s="115">
        <f t="shared" ref="G52" si="119">G51/G$6</f>
        <v>1.4065832573761595E-3</v>
      </c>
      <c r="H52" s="203">
        <f t="shared" ref="H52" si="120">H51/H$6</f>
        <v>1.3070509617443731E-3</v>
      </c>
      <c r="I52" s="215">
        <f>I51/I$6</f>
        <v>1.3070509617443731E-3</v>
      </c>
      <c r="J52" s="216">
        <f>J51/J$6</f>
        <v>1.3070509617443731E-3</v>
      </c>
      <c r="K52" s="115">
        <f t="shared" ref="K52" si="121">K51/K$6</f>
        <v>1.2762268296339233E-3</v>
      </c>
      <c r="L52" s="115">
        <f t="shared" ref="L52" si="122">L51/L$6</f>
        <v>1.097567165663365E-3</v>
      </c>
      <c r="M52" s="115">
        <f t="shared" ref="M52" si="123">M51/M$6</f>
        <v>9.4269535529669182E-4</v>
      </c>
      <c r="N52" s="115">
        <f t="shared" ref="N52" si="124">N51/N$6</f>
        <v>8.0867590226007743E-4</v>
      </c>
      <c r="O52" s="115">
        <f t="shared" ref="O52" si="125">O51/O$6</f>
        <v>6.9289338075538261E-4</v>
      </c>
    </row>
    <row r="53" spans="2:15" x14ac:dyDescent="0.2">
      <c r="B53" s="93"/>
      <c r="C53" s="464" t="s">
        <v>261</v>
      </c>
      <c r="D53" s="464"/>
      <c r="E53" s="125">
        <f>Dart_Cost!C17/1000</f>
        <v>855.24800000000005</v>
      </c>
      <c r="F53" s="125">
        <f>Dart_Cost!D17/1000</f>
        <v>1037.155</v>
      </c>
      <c r="G53" s="125">
        <f>Dart_Cost!E17/1000</f>
        <v>1140.067</v>
      </c>
      <c r="H53" s="201">
        <f>Dart_Cost!F17/1000</f>
        <v>771.64400000000001</v>
      </c>
      <c r="I53" s="361">
        <f>H53</f>
        <v>771.64400000000001</v>
      </c>
      <c r="J53" s="202">
        <f>H53+I53</f>
        <v>1543.288</v>
      </c>
      <c r="K53" s="122">
        <f>J53*(1+Control!J91)</f>
        <v>1574.1537600000001</v>
      </c>
      <c r="L53" s="122">
        <f>K53*(1+Control!K91)</f>
        <v>1605.6368352000002</v>
      </c>
      <c r="M53" s="122">
        <f>L53*(1+Control!L91)</f>
        <v>1637.7495719040003</v>
      </c>
      <c r="N53" s="122">
        <f>M53*(1+Control!M91)</f>
        <v>1670.5045633420802</v>
      </c>
      <c r="O53" s="122">
        <f>N53*(1+Control!N91)</f>
        <v>1703.9146546089219</v>
      </c>
    </row>
    <row r="54" spans="2:15" x14ac:dyDescent="0.2">
      <c r="B54" s="93"/>
      <c r="C54" s="464"/>
      <c r="D54" s="489" t="s">
        <v>241</v>
      </c>
      <c r="E54" s="126">
        <f>E53/E$6</f>
        <v>1.1513793024530057E-3</v>
      </c>
      <c r="F54" s="126">
        <f t="shared" ref="F54" si="126">F53/F$6</f>
        <v>8.749734257050202E-4</v>
      </c>
      <c r="G54" s="126">
        <f t="shared" ref="G54" si="127">G53/G$6</f>
        <v>8.6165440014994931E-4</v>
      </c>
      <c r="H54" s="215">
        <f t="shared" ref="H54" si="128">H53/H$6</f>
        <v>8.4741567234250515E-4</v>
      </c>
      <c r="I54" s="215">
        <f>I53/I$6</f>
        <v>8.4741567234250515E-4</v>
      </c>
      <c r="J54" s="216">
        <f>J53/J$6</f>
        <v>8.4741567234250515E-4</v>
      </c>
      <c r="K54" s="115">
        <f t="shared" ref="K54" si="129">K53/K$6</f>
        <v>8.2743110142578259E-4</v>
      </c>
      <c r="L54" s="115">
        <f t="shared" ref="L54" si="130">L53/L$6</f>
        <v>7.1159858708981386E-4</v>
      </c>
      <c r="M54" s="115">
        <f t="shared" ref="M54" si="131">M53/M$6</f>
        <v>6.1118873074142563E-4</v>
      </c>
      <c r="N54" s="115">
        <f t="shared" ref="N54" si="132">N53/N$6</f>
        <v>5.2429832766913214E-4</v>
      </c>
      <c r="O54" s="115">
        <f t="shared" ref="O54" si="133">O53/O$6</f>
        <v>4.4923168820507677E-4</v>
      </c>
    </row>
    <row r="55" spans="2:15" x14ac:dyDescent="0.2">
      <c r="B55" s="93"/>
      <c r="C55" s="464" t="s">
        <v>262</v>
      </c>
      <c r="D55" s="464"/>
      <c r="E55" s="125">
        <f>Dart_Cost!C18/1000</f>
        <v>1577.8430000000001</v>
      </c>
      <c r="F55" s="125">
        <f>Dart_Cost!D18/1000</f>
        <v>193.85599999999999</v>
      </c>
      <c r="G55" s="125">
        <f>Dart_Cost!E18/1000</f>
        <v>199.083</v>
      </c>
      <c r="H55" s="201">
        <f>Dart_Cost!F18/1000</f>
        <v>2727.1329999999998</v>
      </c>
      <c r="I55" s="361">
        <f>H55</f>
        <v>2727.1329999999998</v>
      </c>
      <c r="J55" s="202">
        <f>H55+I55</f>
        <v>5454.2659999999996</v>
      </c>
      <c r="K55" s="122">
        <f>J55*(1+Control!J92)</f>
        <v>5563.3513199999998</v>
      </c>
      <c r="L55" s="122">
        <f>K55*(1+Control!K92)</f>
        <v>5674.6183463999996</v>
      </c>
      <c r="M55" s="122">
        <f>L55*(1+Control!L92)</f>
        <v>5788.1107133279993</v>
      </c>
      <c r="N55" s="122">
        <f>M55*(1+Control!M92)</f>
        <v>5903.8729275945598</v>
      </c>
      <c r="O55" s="122">
        <f>N55*(1+Control!N92)</f>
        <v>6021.9503861464509</v>
      </c>
    </row>
    <row r="56" spans="2:15" x14ac:dyDescent="0.2">
      <c r="B56" s="93"/>
      <c r="C56" s="93"/>
      <c r="D56" s="489" t="s">
        <v>241</v>
      </c>
      <c r="E56" s="126">
        <f>E55/E$6</f>
        <v>2.1241742426996121E-3</v>
      </c>
      <c r="F56" s="126">
        <f t="shared" ref="F56" si="134">F55/F$6</f>
        <v>1.635424294473559E-4</v>
      </c>
      <c r="G56" s="126">
        <f t="shared" ref="G56" si="135">G55/G$6</f>
        <v>1.5046549276933054E-4</v>
      </c>
      <c r="H56" s="215">
        <f t="shared" ref="H56" si="136">H55/H$6</f>
        <v>2.9949241421723394E-3</v>
      </c>
      <c r="I56" s="215">
        <f>I55/I$6</f>
        <v>2.9949241421723394E-3</v>
      </c>
      <c r="J56" s="216">
        <f>J55/J$6</f>
        <v>2.9949241421723394E-3</v>
      </c>
      <c r="K56" s="115">
        <f t="shared" ref="K56" si="137">K55/K$6</f>
        <v>2.9242949623461056E-3</v>
      </c>
      <c r="L56" s="115">
        <f t="shared" ref="L56" si="138">L55/L$6</f>
        <v>2.5149213751496872E-3</v>
      </c>
      <c r="M56" s="115">
        <f t="shared" ref="M56" si="139">M55/M$6</f>
        <v>2.1600543214656703E-3</v>
      </c>
      <c r="N56" s="115">
        <f t="shared" ref="N56" si="140">N55/N$6</f>
        <v>1.85296752288789E-3</v>
      </c>
      <c r="O56" s="115">
        <f t="shared" ref="O56" si="141">O55/O$6</f>
        <v>1.5876680976587331E-3</v>
      </c>
    </row>
    <row r="57" spans="2:15" ht="12.75" thickBot="1" x14ac:dyDescent="0.25">
      <c r="B57" s="509" t="s">
        <v>263</v>
      </c>
      <c r="C57" s="509"/>
      <c r="D57" s="509"/>
      <c r="E57" s="510">
        <f>E9+E14+E16+E19+E43</f>
        <v>732137.26109399984</v>
      </c>
      <c r="F57" s="510">
        <f t="shared" ref="F57:O57" si="142">F9+F14+F16+F19+F43</f>
        <v>1156150.8129879998</v>
      </c>
      <c r="G57" s="510">
        <f t="shared" si="142"/>
        <v>1285415.3887679998</v>
      </c>
      <c r="H57" s="511">
        <f t="shared" si="142"/>
        <v>872106.02483599982</v>
      </c>
      <c r="I57" s="512">
        <f t="shared" si="142"/>
        <v>872106.02483599982</v>
      </c>
      <c r="J57" s="513">
        <f t="shared" si="142"/>
        <v>1744212.0496719996</v>
      </c>
      <c r="K57" s="510">
        <f t="shared" si="142"/>
        <v>1786540.0160122912</v>
      </c>
      <c r="L57" s="510">
        <f t="shared" si="142"/>
        <v>2111660.9177612406</v>
      </c>
      <c r="M57" s="510">
        <f t="shared" si="142"/>
        <v>2502564.4942007978</v>
      </c>
      <c r="N57" s="510">
        <f t="shared" si="142"/>
        <v>2972404.348696392</v>
      </c>
      <c r="O57" s="510">
        <f t="shared" si="142"/>
        <v>3536128.3567155376</v>
      </c>
    </row>
    <row r="58" spans="2:15" x14ac:dyDescent="0.2">
      <c r="D58" s="514" t="s">
        <v>264</v>
      </c>
      <c r="E58" s="1" t="b">
        <f>ROUND(E57,0)=ROUND(Dart_Cost!C28/1000,0)</f>
        <v>1</v>
      </c>
      <c r="F58" s="1" t="b">
        <f>ROUND(F57,0)=ROUND(Dart_Cost!D28/1000,0)</f>
        <v>1</v>
      </c>
      <c r="G58" s="1" t="b">
        <f>ROUND(G57,0)=ROUND(Dart_Cost!E28/1000,0)</f>
        <v>1</v>
      </c>
      <c r="H58" s="1" t="b">
        <f>ROUND(H57,0)=ROUND(Dart_Cost!F28/1000,0)</f>
        <v>1</v>
      </c>
    </row>
  </sheetData>
  <phoneticPr fontId="2" type="noConversion"/>
  <hyperlinks>
    <hyperlink ref="E1" location="Index!A1" display="Index!A1" xr:uid="{BE6CB8CA-0C71-454D-8892-2D89E892EFD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019B9-5786-4F38-BCFE-CD2FACEB7CD7}">
  <dimension ref="B1:W22"/>
  <sheetViews>
    <sheetView showGridLines="0" topLeftCell="F1" zoomScale="115" zoomScaleNormal="115" workbookViewId="0">
      <selection activeCell="F6" sqref="F6"/>
    </sheetView>
  </sheetViews>
  <sheetFormatPr defaultColWidth="9.28515625" defaultRowHeight="12" x14ac:dyDescent="0.2"/>
  <cols>
    <col min="1" max="4" width="1.85546875" style="245" customWidth="1"/>
    <col min="5" max="5" width="14.7109375" style="245" customWidth="1"/>
    <col min="6" max="16" width="11.7109375" style="245" customWidth="1"/>
    <col min="17" max="17" width="9.28515625" style="245"/>
    <col min="18" max="18" width="22.140625" style="245" bestFit="1" customWidth="1"/>
    <col min="19" max="16384" width="9.28515625" style="245"/>
  </cols>
  <sheetData>
    <row r="1" spans="2:23" ht="15" x14ac:dyDescent="0.2">
      <c r="B1" s="25" t="s">
        <v>11</v>
      </c>
      <c r="F1" s="614" t="s">
        <v>0</v>
      </c>
    </row>
    <row r="2" spans="2:23" ht="15" x14ac:dyDescent="0.2">
      <c r="B2" s="244"/>
    </row>
    <row r="3" spans="2:23" ht="12.75" thickBot="1" x14ac:dyDescent="0.25">
      <c r="F3" s="242" t="s">
        <v>26</v>
      </c>
      <c r="G3" s="242"/>
      <c r="H3" s="242"/>
      <c r="I3" s="242"/>
      <c r="J3" s="243"/>
      <c r="K3" s="243" t="s">
        <v>265</v>
      </c>
      <c r="L3" s="241"/>
      <c r="M3" s="241"/>
      <c r="N3" s="241"/>
      <c r="O3" s="241"/>
      <c r="P3" s="241"/>
    </row>
    <row r="4" spans="2:23" x14ac:dyDescent="0.2">
      <c r="B4" s="390" t="s">
        <v>29</v>
      </c>
      <c r="C4" s="390"/>
      <c r="D4" s="390"/>
      <c r="E4" s="390"/>
      <c r="F4" s="391">
        <v>2018</v>
      </c>
      <c r="G4" s="391">
        <v>2019</v>
      </c>
      <c r="H4" s="391">
        <v>2020</v>
      </c>
      <c r="I4" s="392" t="s">
        <v>30</v>
      </c>
      <c r="J4" s="393" t="s">
        <v>31</v>
      </c>
      <c r="K4" s="395">
        <v>2021</v>
      </c>
      <c r="L4" s="394">
        <v>2022</v>
      </c>
      <c r="M4" s="394">
        <v>2023</v>
      </c>
      <c r="N4" s="394">
        <v>2024</v>
      </c>
      <c r="O4" s="394">
        <v>2025</v>
      </c>
      <c r="P4" s="394">
        <v>2016</v>
      </c>
    </row>
    <row r="5" spans="2:23" x14ac:dyDescent="0.2">
      <c r="B5" s="333" t="s">
        <v>266</v>
      </c>
      <c r="C5" s="334"/>
      <c r="D5" s="334"/>
      <c r="E5" s="334"/>
      <c r="F5" s="339">
        <f t="shared" ref="F5:O5" si="0">F6+F7</f>
        <v>6203.4207329999999</v>
      </c>
      <c r="G5" s="339">
        <f t="shared" si="0"/>
        <v>4496.4141410000002</v>
      </c>
      <c r="H5" s="339">
        <f t="shared" si="0"/>
        <v>2238.379907</v>
      </c>
      <c r="I5" s="373">
        <f t="shared" si="0"/>
        <v>2044.249278</v>
      </c>
      <c r="J5" s="374">
        <f t="shared" si="0"/>
        <v>2044.249278</v>
      </c>
      <c r="K5" s="396">
        <f t="shared" si="0"/>
        <v>4088.498556</v>
      </c>
      <c r="L5" s="339">
        <f t="shared" si="0"/>
        <v>4256.2991545000004</v>
      </c>
      <c r="M5" s="339">
        <f t="shared" si="0"/>
        <v>4469.1141122250001</v>
      </c>
      <c r="N5" s="339">
        <f t="shared" si="0"/>
        <v>4692.5698178362509</v>
      </c>
      <c r="O5" s="339">
        <f t="shared" si="0"/>
        <v>4927.1983087280632</v>
      </c>
      <c r="P5" s="339">
        <f t="shared" ref="P5" si="1">P6+P7</f>
        <v>5173.5582241644661</v>
      </c>
    </row>
    <row r="6" spans="2:23" x14ac:dyDescent="0.2">
      <c r="B6" s="333"/>
      <c r="C6" s="358" t="s">
        <v>267</v>
      </c>
      <c r="D6" s="334"/>
      <c r="E6" s="334"/>
      <c r="F6" s="336">
        <f>Dart_FS!C138/10^6</f>
        <v>4767.0067449999997</v>
      </c>
      <c r="G6" s="336">
        <f>Dart_FS!D138/10^6</f>
        <v>3551.6558909999999</v>
      </c>
      <c r="H6" s="336">
        <f>Dart_FS!E138/10^6</f>
        <v>1190.6147269999999</v>
      </c>
      <c r="I6" s="375">
        <f>Dart_FS!F138/10^6</f>
        <v>1704.119678</v>
      </c>
      <c r="J6" s="376">
        <f>I6</f>
        <v>1704.119678</v>
      </c>
      <c r="K6" s="397">
        <f>I6+J6</f>
        <v>3408.239356</v>
      </c>
      <c r="L6" s="335">
        <f>Control!J96</f>
        <v>3229</v>
      </c>
      <c r="M6" s="335">
        <f>Control!K96</f>
        <v>3390.4500000000003</v>
      </c>
      <c r="N6" s="335">
        <f>Control!L96</f>
        <v>3559.9725000000003</v>
      </c>
      <c r="O6" s="335">
        <f>Control!M96</f>
        <v>3737.9711250000005</v>
      </c>
      <c r="P6" s="335">
        <f>Control!N96</f>
        <v>3924.8696812500007</v>
      </c>
    </row>
    <row r="7" spans="2:23" x14ac:dyDescent="0.2">
      <c r="B7" s="333"/>
      <c r="C7" s="334" t="s">
        <v>268</v>
      </c>
      <c r="D7" s="334"/>
      <c r="E7" s="334"/>
      <c r="F7" s="336">
        <f>Dart_FS!C139/10^6</f>
        <v>1436.413988</v>
      </c>
      <c r="G7" s="335">
        <f>Dart_FS!D139/10^6</f>
        <v>944.75824999999998</v>
      </c>
      <c r="H7" s="335">
        <f>Dart_FS!E139/10^6</f>
        <v>1047.7651800000001</v>
      </c>
      <c r="I7" s="377">
        <f>Dart_FS!F139/10^6</f>
        <v>340.12959999999998</v>
      </c>
      <c r="J7" s="376">
        <f>I7</f>
        <v>340.12959999999998</v>
      </c>
      <c r="K7" s="397">
        <f>I7+J7</f>
        <v>680.25919999999996</v>
      </c>
      <c r="L7" s="335">
        <f>Control!J97</f>
        <v>1027.2991545</v>
      </c>
      <c r="M7" s="335">
        <f>Control!K97</f>
        <v>1078.6641122250001</v>
      </c>
      <c r="N7" s="335">
        <f>Control!L97</f>
        <v>1132.5973178362501</v>
      </c>
      <c r="O7" s="335">
        <f>Control!M97</f>
        <v>1189.2271837280628</v>
      </c>
      <c r="P7" s="335">
        <f>Control!N97</f>
        <v>1248.6885429144659</v>
      </c>
    </row>
    <row r="8" spans="2:23" x14ac:dyDescent="0.2">
      <c r="B8" s="333" t="s">
        <v>130</v>
      </c>
      <c r="C8" s="334"/>
      <c r="D8" s="334"/>
      <c r="E8" s="334"/>
      <c r="F8" s="339">
        <f t="shared" ref="F8:O8" si="2">F9+F10</f>
        <v>7432.3770940000004</v>
      </c>
      <c r="G8" s="339">
        <f t="shared" si="2"/>
        <v>13537.455988</v>
      </c>
      <c r="H8" s="339">
        <f t="shared" si="2"/>
        <v>15873.971768000001</v>
      </c>
      <c r="I8" s="373">
        <f t="shared" si="2"/>
        <v>19724.315835999998</v>
      </c>
      <c r="J8" s="374">
        <f t="shared" si="2"/>
        <v>19724.315835999998</v>
      </c>
      <c r="K8" s="396">
        <f t="shared" si="2"/>
        <v>39448.631671999996</v>
      </c>
      <c r="L8" s="339">
        <f t="shared" si="2"/>
        <v>33669.771896425009</v>
      </c>
      <c r="M8" s="339">
        <f t="shared" si="2"/>
        <v>30919.50262117176</v>
      </c>
      <c r="N8" s="339">
        <f t="shared" si="2"/>
        <v>28755.21455705534</v>
      </c>
      <c r="O8" s="339">
        <f t="shared" si="2"/>
        <v>27061.572967634995</v>
      </c>
      <c r="P8" s="339">
        <f t="shared" ref="P8" si="3">P9+P10</f>
        <v>25746.401836287812</v>
      </c>
    </row>
    <row r="9" spans="2:23" x14ac:dyDescent="0.2">
      <c r="B9" s="333"/>
      <c r="C9" s="334" t="s">
        <v>269</v>
      </c>
      <c r="D9" s="334"/>
      <c r="E9" s="334"/>
      <c r="F9" s="335">
        <f>Dart_FS!C82/10^6</f>
        <v>6680.6335710000003</v>
      </c>
      <c r="G9" s="335">
        <f>Dart_FS!D82/10^6</f>
        <v>12256.755057</v>
      </c>
      <c r="H9" s="335">
        <f>Dart_FS!E82/10^6</f>
        <v>14214.472395000001</v>
      </c>
      <c r="I9" s="378">
        <f>Dart_FS!F82/10^6</f>
        <v>18802.027765999999</v>
      </c>
      <c r="J9" s="376">
        <f>I9</f>
        <v>18802.027765999999</v>
      </c>
      <c r="K9" s="397">
        <f>I9+J9</f>
        <v>37604.055531999998</v>
      </c>
      <c r="L9" s="336">
        <f>AVERAGE(K15,K15+L6+L12)*L18</f>
        <v>32110.435944400007</v>
      </c>
      <c r="M9" s="336">
        <f t="shared" ref="M9:P9" si="4">AVERAGE(L15,L15+M6+M12)*M18</f>
        <v>29350.293755520008</v>
      </c>
      <c r="N9" s="336">
        <f t="shared" si="4"/>
        <v>27175.277254416011</v>
      </c>
      <c r="O9" s="336">
        <f t="shared" si="4"/>
        <v>25470.016166032809</v>
      </c>
      <c r="P9" s="336">
        <f t="shared" si="4"/>
        <v>24142.297013451247</v>
      </c>
    </row>
    <row r="10" spans="2:23" x14ac:dyDescent="0.2">
      <c r="B10" s="333"/>
      <c r="C10" s="334" t="s">
        <v>268</v>
      </c>
      <c r="D10" s="334"/>
      <c r="E10" s="334"/>
      <c r="F10" s="335">
        <f>Dart_FS!C84/10^6</f>
        <v>751.74352299999998</v>
      </c>
      <c r="G10" s="335">
        <f>Dart_FS!D84/10^6</f>
        <v>1280.7009310000001</v>
      </c>
      <c r="H10" s="335">
        <f>Dart_FS!E84/10^6</f>
        <v>1659.4993730000001</v>
      </c>
      <c r="I10" s="378">
        <f>Dart_FS!F84/10^6</f>
        <v>922.28806999999995</v>
      </c>
      <c r="J10" s="376">
        <f>I10</f>
        <v>922.28806999999995</v>
      </c>
      <c r="K10" s="397">
        <f>I10+J10</f>
        <v>1844.5761399999999</v>
      </c>
      <c r="L10" s="336">
        <f>AVERAGE(K16,K16+L7+L13)*L19</f>
        <v>1559.3359520250001</v>
      </c>
      <c r="M10" s="336">
        <f t="shared" ref="M10:P10" si="5">AVERAGE(L16,L16+M7+M13)*M19</f>
        <v>1569.2088656517503</v>
      </c>
      <c r="N10" s="336">
        <f t="shared" si="5"/>
        <v>1579.9373026393278</v>
      </c>
      <c r="O10" s="336">
        <f t="shared" si="5"/>
        <v>1591.5568016021844</v>
      </c>
      <c r="P10" s="336">
        <f t="shared" si="5"/>
        <v>1604.1048228365657</v>
      </c>
    </row>
    <row r="11" spans="2:23" x14ac:dyDescent="0.2">
      <c r="B11" s="333" t="s">
        <v>270</v>
      </c>
      <c r="C11" s="334"/>
      <c r="D11" s="334"/>
      <c r="E11" s="334"/>
      <c r="F11" s="339">
        <f t="shared" ref="F11:O11" si="6">F12+F13</f>
        <v>0</v>
      </c>
      <c r="G11" s="340">
        <f t="shared" si="6"/>
        <v>9963.1981230000019</v>
      </c>
      <c r="H11" s="340">
        <f t="shared" si="6"/>
        <v>14308.679607999999</v>
      </c>
      <c r="I11" s="379">
        <f t="shared" si="6"/>
        <v>112172.85608899999</v>
      </c>
      <c r="J11" s="380">
        <f t="shared" si="6"/>
        <v>11905.698707000003</v>
      </c>
      <c r="K11" s="398">
        <f t="shared" si="6"/>
        <v>124078.554796</v>
      </c>
      <c r="L11" s="340">
        <f t="shared" si="6"/>
        <v>16000</v>
      </c>
      <c r="M11" s="340">
        <f t="shared" si="6"/>
        <v>16000</v>
      </c>
      <c r="N11" s="340">
        <f t="shared" si="6"/>
        <v>16000</v>
      </c>
      <c r="O11" s="340">
        <f t="shared" si="6"/>
        <v>16000</v>
      </c>
      <c r="P11" s="340">
        <f t="shared" ref="P11" si="7">P12+P13</f>
        <v>16000</v>
      </c>
    </row>
    <row r="12" spans="2:23" x14ac:dyDescent="0.2">
      <c r="B12" s="333"/>
      <c r="C12" s="334" t="s">
        <v>269</v>
      </c>
      <c r="D12" s="334"/>
      <c r="E12" s="334"/>
      <c r="F12" s="336">
        <v>0</v>
      </c>
      <c r="G12" s="341">
        <f t="shared" ref="G12:I13" si="8">G15-(F15+G6-G9)</f>
        <v>9963.1981230000019</v>
      </c>
      <c r="H12" s="341">
        <f t="shared" si="8"/>
        <v>13421.955701000006</v>
      </c>
      <c r="I12" s="381">
        <f t="shared" si="8"/>
        <v>111959.73429399999</v>
      </c>
      <c r="J12" s="382">
        <f>AVERAGE(G12:H12)</f>
        <v>11692.576912000004</v>
      </c>
      <c r="K12" s="397">
        <f>I12+J12</f>
        <v>123652.311206</v>
      </c>
      <c r="L12" s="341">
        <f>Control!J98</f>
        <v>15000</v>
      </c>
      <c r="M12" s="341">
        <f>Control!K98</f>
        <v>15000</v>
      </c>
      <c r="N12" s="341">
        <f>Control!L98</f>
        <v>15000</v>
      </c>
      <c r="O12" s="341">
        <f>Control!M98</f>
        <v>15000</v>
      </c>
      <c r="P12" s="341">
        <f>Control!N98</f>
        <v>15000</v>
      </c>
    </row>
    <row r="13" spans="2:23" x14ac:dyDescent="0.2">
      <c r="B13" s="333"/>
      <c r="C13" s="334" t="s">
        <v>268</v>
      </c>
      <c r="D13" s="334"/>
      <c r="E13" s="334"/>
      <c r="F13" s="336">
        <v>0</v>
      </c>
      <c r="G13" s="341">
        <f t="shared" si="8"/>
        <v>0</v>
      </c>
      <c r="H13" s="341">
        <f t="shared" si="8"/>
        <v>886.72390699999232</v>
      </c>
      <c r="I13" s="381">
        <f t="shared" si="8"/>
        <v>213.12179499999911</v>
      </c>
      <c r="J13" s="382">
        <f>I13</f>
        <v>213.12179499999911</v>
      </c>
      <c r="K13" s="397">
        <f>I13+J13</f>
        <v>426.24358999999822</v>
      </c>
      <c r="L13" s="341">
        <f>Control!J99</f>
        <v>1000</v>
      </c>
      <c r="M13" s="341">
        <f>Control!K99</f>
        <v>1000</v>
      </c>
      <c r="N13" s="341">
        <f>Control!L99</f>
        <v>1000</v>
      </c>
      <c r="O13" s="341">
        <f>Control!M99</f>
        <v>1000</v>
      </c>
      <c r="P13" s="341">
        <f>Control!N99</f>
        <v>1000</v>
      </c>
    </row>
    <row r="14" spans="2:23" x14ac:dyDescent="0.2">
      <c r="B14" s="333" t="s">
        <v>271</v>
      </c>
      <c r="C14" s="334"/>
      <c r="D14" s="334"/>
      <c r="E14" s="334"/>
      <c r="F14" s="339">
        <f t="shared" ref="F14:O14" si="9">F15+F16</f>
        <v>138077.16204299999</v>
      </c>
      <c r="G14" s="340">
        <f t="shared" si="9"/>
        <v>138999.31831900001</v>
      </c>
      <c r="H14" s="340">
        <f t="shared" si="9"/>
        <v>139672.406066</v>
      </c>
      <c r="I14" s="379">
        <f t="shared" si="9"/>
        <v>234165.19559700001</v>
      </c>
      <c r="J14" s="380">
        <f t="shared" si="9"/>
        <v>228390.82774600002</v>
      </c>
      <c r="K14" s="398">
        <f t="shared" si="9"/>
        <v>228390.82774600002</v>
      </c>
      <c r="L14" s="340">
        <f t="shared" si="9"/>
        <v>214977.35500407504</v>
      </c>
      <c r="M14" s="340">
        <f t="shared" si="9"/>
        <v>204526.96649512829</v>
      </c>
      <c r="N14" s="340">
        <f t="shared" si="9"/>
        <v>196464.32175590922</v>
      </c>
      <c r="O14" s="340">
        <f t="shared" si="9"/>
        <v>190329.9470970023</v>
      </c>
      <c r="P14" s="340">
        <f t="shared" ref="P14" si="10">P15+P16</f>
        <v>185757.10348487893</v>
      </c>
    </row>
    <row r="15" spans="2:23" x14ac:dyDescent="0.2">
      <c r="B15" s="333"/>
      <c r="C15" s="358" t="s">
        <v>267</v>
      </c>
      <c r="D15" s="334"/>
      <c r="E15" s="334"/>
      <c r="F15" s="335">
        <f>(Dart_FS!C17  +  Dart_FS!C19 ) /10^6</f>
        <v>60324.987701999999</v>
      </c>
      <c r="G15" s="335">
        <f>(Dart_FS!D17  +  Dart_FS!D19 ) /10^6</f>
        <v>61583.086659000001</v>
      </c>
      <c r="H15" s="335">
        <f>(Dart_FS!E17  +  Dart_FS!E19 ) /10^6</f>
        <v>61981.184692000003</v>
      </c>
      <c r="I15" s="378">
        <f>(Dart_FS!F17  +  Dart_FS!F19 ) /10^6</f>
        <v>156843.01089800001</v>
      </c>
      <c r="J15" s="376">
        <f>I15+J6-J9+J12</f>
        <v>151437.67972200003</v>
      </c>
      <c r="K15" s="397">
        <f>J15</f>
        <v>151437.67972200003</v>
      </c>
      <c r="L15" s="335">
        <f>K15+L6-L9+L12</f>
        <v>137556.24377760003</v>
      </c>
      <c r="M15" s="335">
        <f t="shared" ref="M15:P15" si="11">L15+M6-M9+M12</f>
        <v>126596.40002208004</v>
      </c>
      <c r="N15" s="335">
        <f t="shared" si="11"/>
        <v>117981.09526766403</v>
      </c>
      <c r="O15" s="335">
        <f t="shared" si="11"/>
        <v>111249.05022663123</v>
      </c>
      <c r="P15" s="335">
        <f t="shared" si="11"/>
        <v>106031.62289442998</v>
      </c>
    </row>
    <row r="16" spans="2:23" x14ac:dyDescent="0.2">
      <c r="B16" s="333"/>
      <c r="C16" s="334" t="s">
        <v>268</v>
      </c>
      <c r="D16" s="334"/>
      <c r="E16" s="334"/>
      <c r="F16" s="335">
        <f>Dart_FS!C18/10^6</f>
        <v>77752.174341000005</v>
      </c>
      <c r="G16" s="335">
        <f>Dart_FS!D18/10^6</f>
        <v>77416.231660000005</v>
      </c>
      <c r="H16" s="335">
        <f>Dart_FS!E18/10^6</f>
        <v>77691.221374000001</v>
      </c>
      <c r="I16" s="378">
        <f>Dart_FS!F18/10^6</f>
        <v>77322.184699000005</v>
      </c>
      <c r="J16" s="376">
        <f>I16+J7-J10+J13</f>
        <v>76953.148024000009</v>
      </c>
      <c r="K16" s="397">
        <f>J16</f>
        <v>76953.148024000009</v>
      </c>
      <c r="L16" s="335">
        <f t="shared" ref="L16:P16" si="12">K16+L7-L10+L13</f>
        <v>77421.111226475012</v>
      </c>
      <c r="M16" s="335">
        <f t="shared" si="12"/>
        <v>77930.566473048268</v>
      </c>
      <c r="N16" s="335">
        <f t="shared" si="12"/>
        <v>78483.226488245185</v>
      </c>
      <c r="O16" s="335">
        <f t="shared" si="12"/>
        <v>79080.896870371056</v>
      </c>
      <c r="P16" s="335">
        <f t="shared" si="12"/>
        <v>79725.480590448948</v>
      </c>
      <c r="S16" s="389"/>
      <c r="T16" s="389"/>
      <c r="U16" s="389"/>
      <c r="V16" s="389"/>
      <c r="W16" s="389"/>
    </row>
    <row r="17" spans="2:23" x14ac:dyDescent="0.2">
      <c r="B17" s="333" t="s">
        <v>272</v>
      </c>
      <c r="C17" s="334"/>
      <c r="D17" s="334"/>
      <c r="E17" s="334"/>
      <c r="F17" s="334"/>
      <c r="G17" s="334"/>
      <c r="H17" s="334"/>
      <c r="I17" s="383"/>
      <c r="J17" s="384"/>
      <c r="K17" s="399"/>
      <c r="L17" s="334"/>
      <c r="M17" s="334"/>
      <c r="N17" s="334"/>
      <c r="O17" s="334"/>
      <c r="P17" s="334"/>
      <c r="S17" s="389"/>
      <c r="T17" s="389"/>
      <c r="U17" s="389"/>
      <c r="V17" s="389"/>
      <c r="W17" s="389"/>
    </row>
    <row r="18" spans="2:23" x14ac:dyDescent="0.2">
      <c r="B18" s="334"/>
      <c r="C18" s="334" t="s">
        <v>269</v>
      </c>
      <c r="D18" s="334"/>
      <c r="E18" s="334"/>
      <c r="F18" s="334"/>
      <c r="G18" s="342">
        <f>G9/AVERAGE(F15,F15+G6+G12)</f>
        <v>0.18271189417031514</v>
      </c>
      <c r="H18" s="342">
        <f>H9/AVERAGE(G15,G15+H6+H12)</f>
        <v>0.20633766876558093</v>
      </c>
      <c r="I18" s="385"/>
      <c r="J18" s="386"/>
      <c r="K18" s="400">
        <f>K9/AVERAGE(H15+K6+K12)</f>
        <v>0.19891933112798868</v>
      </c>
      <c r="L18" s="342">
        <f>Control!J100</f>
        <v>0.2</v>
      </c>
      <c r="M18" s="342">
        <f>Control!K100</f>
        <v>0.2</v>
      </c>
      <c r="N18" s="342">
        <f>Control!L100</f>
        <v>0.2</v>
      </c>
      <c r="O18" s="342">
        <f>Control!M100</f>
        <v>0.2</v>
      </c>
      <c r="P18" s="342">
        <f>Control!N100</f>
        <v>0.2</v>
      </c>
    </row>
    <row r="19" spans="2:23" ht="12.75" thickBot="1" x14ac:dyDescent="0.25">
      <c r="B19" s="337"/>
      <c r="C19" s="337" t="s">
        <v>268</v>
      </c>
      <c r="D19" s="337"/>
      <c r="E19" s="337"/>
      <c r="F19" s="337"/>
      <c r="G19" s="343">
        <f>G10/AVERAGE(F16,F16+G7+G13)</f>
        <v>1.6372109194035242E-2</v>
      </c>
      <c r="H19" s="343">
        <f>H10/AVERAGE(G16,G16+H7+H13)</f>
        <v>2.1171546011707752E-2</v>
      </c>
      <c r="I19" s="387"/>
      <c r="J19" s="388"/>
      <c r="K19" s="401">
        <f>K10/AVERAGE(H16,H16+K7+K13)</f>
        <v>2.3574523218345592E-2</v>
      </c>
      <c r="L19" s="343">
        <f>Control!J101</f>
        <v>0.02</v>
      </c>
      <c r="M19" s="343">
        <f>Control!K101</f>
        <v>0.02</v>
      </c>
      <c r="N19" s="343">
        <f>Control!L101</f>
        <v>0.02</v>
      </c>
      <c r="O19" s="343">
        <f>Control!M101</f>
        <v>0.02</v>
      </c>
      <c r="P19" s="343">
        <f>Control!N101</f>
        <v>0.02</v>
      </c>
    </row>
    <row r="22" spans="2:23" x14ac:dyDescent="0.2">
      <c r="K22" s="281"/>
      <c r="L22" s="338"/>
      <c r="M22" s="338"/>
      <c r="N22" s="338"/>
      <c r="O22" s="338"/>
      <c r="P22" s="338"/>
    </row>
  </sheetData>
  <phoneticPr fontId="2" type="noConversion"/>
  <hyperlinks>
    <hyperlink ref="F1" location="Index!A1" display="Index!A1" xr:uid="{15C38055-F317-4EEE-9FFF-4E2B918B2859}"/>
  </hyperlink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07E06-FD18-4BE5-B67E-6DF69CD27FD8}">
  <dimension ref="B1:X70"/>
  <sheetViews>
    <sheetView showGridLines="0" zoomScaleNormal="100" workbookViewId="0">
      <selection activeCell="A31" sqref="A31"/>
    </sheetView>
  </sheetViews>
  <sheetFormatPr defaultColWidth="9.28515625" defaultRowHeight="12" outlineLevelRow="1" x14ac:dyDescent="0.2"/>
  <cols>
    <col min="1" max="5" width="1.7109375" customWidth="1"/>
    <col min="6" max="6" width="14.7109375" customWidth="1"/>
    <col min="7" max="7" width="10.42578125" customWidth="1"/>
    <col min="8" max="9" width="11.28515625" customWidth="1"/>
    <col min="10" max="11" width="9.42578125" style="1" bestFit="1" customWidth="1"/>
    <col min="12" max="17" width="11.28515625" style="1" bestFit="1" customWidth="1"/>
    <col min="18" max="18" width="14" style="412" customWidth="1"/>
    <col min="19" max="19" width="9.28515625" style="412"/>
    <col min="20" max="23" width="9.28515625" style="1"/>
  </cols>
  <sheetData>
    <row r="1" spans="2:24" ht="15" x14ac:dyDescent="0.2">
      <c r="B1" s="25" t="s">
        <v>12</v>
      </c>
      <c r="G1" s="614" t="s">
        <v>0</v>
      </c>
    </row>
    <row r="3" spans="2:24" ht="12.75" thickBot="1" x14ac:dyDescent="0.25">
      <c r="B3" s="1"/>
      <c r="C3" s="1"/>
      <c r="D3" s="1"/>
      <c r="E3" s="1"/>
      <c r="F3" s="1"/>
      <c r="G3" s="242" t="s">
        <v>26</v>
      </c>
      <c r="H3" s="242"/>
      <c r="I3" s="242"/>
      <c r="J3" s="242"/>
      <c r="K3" s="243"/>
      <c r="L3" s="243" t="s">
        <v>28</v>
      </c>
      <c r="M3" s="241"/>
      <c r="N3" s="241"/>
      <c r="O3" s="241"/>
      <c r="P3" s="241"/>
      <c r="Q3" s="241"/>
    </row>
    <row r="4" spans="2:24" x14ac:dyDescent="0.2">
      <c r="B4" s="182" t="s">
        <v>29</v>
      </c>
      <c r="C4" s="182"/>
      <c r="D4" s="182"/>
      <c r="E4" s="182"/>
      <c r="F4" s="182"/>
      <c r="G4" s="182">
        <v>2018</v>
      </c>
      <c r="H4" s="182">
        <v>2019</v>
      </c>
      <c r="I4" s="182">
        <v>2020</v>
      </c>
      <c r="J4" s="470" t="s">
        <v>30</v>
      </c>
      <c r="K4" s="471" t="s">
        <v>31</v>
      </c>
      <c r="L4" s="472">
        <v>2021</v>
      </c>
      <c r="M4" s="473">
        <v>2022</v>
      </c>
      <c r="N4" s="473">
        <f>M4+1</f>
        <v>2023</v>
      </c>
      <c r="O4" s="473">
        <f>N4+1</f>
        <v>2024</v>
      </c>
      <c r="P4" s="473">
        <f>O4+1</f>
        <v>2025</v>
      </c>
      <c r="Q4" s="473">
        <f>P4+1</f>
        <v>2026</v>
      </c>
      <c r="T4" s="118">
        <v>2022</v>
      </c>
      <c r="U4" s="118">
        <v>2023</v>
      </c>
      <c r="V4" s="118">
        <v>2024</v>
      </c>
      <c r="W4" s="118">
        <v>2025</v>
      </c>
      <c r="X4" s="118">
        <v>2026</v>
      </c>
    </row>
    <row r="5" spans="2:24" x14ac:dyDescent="0.2">
      <c r="B5" s="414" t="s">
        <v>227</v>
      </c>
      <c r="C5" s="414"/>
      <c r="D5" s="410"/>
      <c r="E5" s="410"/>
      <c r="F5" s="410"/>
      <c r="G5" s="416">
        <f>Sales!I7</f>
        <v>52196</v>
      </c>
      <c r="H5" s="416">
        <f>Sales!J7</f>
        <v>84328</v>
      </c>
      <c r="I5" s="416">
        <f>Sales!K7</f>
        <v>90149</v>
      </c>
      <c r="J5" s="419">
        <f>Sales!L7</f>
        <v>54426</v>
      </c>
      <c r="K5" s="420">
        <f>Sales!M7</f>
        <v>54426</v>
      </c>
      <c r="L5" s="421">
        <f>Sales!N7</f>
        <v>108852</v>
      </c>
      <c r="M5" s="416">
        <f>Sales!O7</f>
        <v>111343.66858285572</v>
      </c>
      <c r="N5" s="416">
        <f>Sales!P7</f>
        <v>131007.23774056818</v>
      </c>
      <c r="O5" s="416">
        <f>Sales!Q7</f>
        <v>154343.0042739372</v>
      </c>
      <c r="P5" s="416">
        <f>Sales!R7</f>
        <v>182059.35601250565</v>
      </c>
      <c r="Q5" s="416">
        <f>Sales!S7</f>
        <v>215003.75318716586</v>
      </c>
    </row>
    <row r="6" spans="2:24" x14ac:dyDescent="0.2">
      <c r="B6" s="414" t="s">
        <v>197</v>
      </c>
      <c r="C6" s="414"/>
      <c r="D6" s="410"/>
      <c r="E6" s="410"/>
      <c r="F6" s="410"/>
      <c r="G6" s="416">
        <f>Sales!I160</f>
        <v>742803</v>
      </c>
      <c r="H6" s="416">
        <f>Sales!J160</f>
        <v>1185356</v>
      </c>
      <c r="I6" s="416">
        <f>Sales!K160</f>
        <v>1323114</v>
      </c>
      <c r="J6" s="419">
        <f>Sales!L160</f>
        <v>910585</v>
      </c>
      <c r="K6" s="420">
        <f>Sales!M160</f>
        <v>910585</v>
      </c>
      <c r="L6" s="421">
        <f>Sales!N160</f>
        <v>1821170</v>
      </c>
      <c r="M6" s="416">
        <f>Sales!O160</f>
        <v>1902459.0171767864</v>
      </c>
      <c r="N6" s="416">
        <f>Sales!P160</f>
        <v>2256380.0214478867</v>
      </c>
      <c r="O6" s="416">
        <f>Sales!Q160</f>
        <v>2679613.4966645511</v>
      </c>
      <c r="P6" s="416">
        <f>Sales!R160</f>
        <v>3186171.832301327</v>
      </c>
      <c r="Q6" s="416">
        <f>Sales!S160</f>
        <v>3792952.9446530836</v>
      </c>
    </row>
    <row r="7" spans="2:24" x14ac:dyDescent="0.2">
      <c r="B7" s="414" t="s">
        <v>273</v>
      </c>
      <c r="C7" s="414"/>
      <c r="D7" s="410"/>
      <c r="E7" s="410"/>
      <c r="F7" s="410"/>
      <c r="G7" s="416">
        <f>Sales!I140</f>
        <v>50546</v>
      </c>
      <c r="H7" s="416">
        <f>Sales!J140</f>
        <v>80966</v>
      </c>
      <c r="I7" s="416">
        <f>Sales!K140</f>
        <v>98049</v>
      </c>
      <c r="J7" s="419">
        <f>Sales!L140</f>
        <v>69172</v>
      </c>
      <c r="K7" s="420">
        <f>Sales!M140</f>
        <v>69172</v>
      </c>
      <c r="L7" s="421">
        <f>Sales!N140</f>
        <v>138344</v>
      </c>
      <c r="M7" s="416">
        <f>Sales!O140</f>
        <v>166012.79999999999</v>
      </c>
      <c r="N7" s="416">
        <f>Sales!P140</f>
        <v>199215.35999999999</v>
      </c>
      <c r="O7" s="416">
        <f>Sales!Q140</f>
        <v>239058.432</v>
      </c>
      <c r="P7" s="416">
        <f>Sales!R140</f>
        <v>286870.11839999998</v>
      </c>
      <c r="Q7" s="416">
        <f>Sales!S140</f>
        <v>344244.1420799999</v>
      </c>
    </row>
    <row r="8" spans="2:24" ht="12.75" thickBot="1" x14ac:dyDescent="0.25">
      <c r="B8" s="417" t="s">
        <v>274</v>
      </c>
      <c r="C8" s="417"/>
      <c r="D8" s="443"/>
      <c r="E8" s="443"/>
      <c r="F8" s="443"/>
      <c r="G8" s="418">
        <f>Sales!I146</f>
        <v>0</v>
      </c>
      <c r="H8" s="418">
        <f>Sales!J146</f>
        <v>0</v>
      </c>
      <c r="I8" s="418">
        <f>Sales!K146</f>
        <v>0</v>
      </c>
      <c r="J8" s="422">
        <f>Sales!L146</f>
        <v>22392</v>
      </c>
      <c r="K8" s="423">
        <f>Sales!M146</f>
        <v>22392</v>
      </c>
      <c r="L8" s="424">
        <f>Sales!N146</f>
        <v>44784</v>
      </c>
      <c r="M8" s="418">
        <f>Sales!O146</f>
        <v>53740.799999999996</v>
      </c>
      <c r="N8" s="418">
        <f>Sales!P146</f>
        <v>64488.959999999992</v>
      </c>
      <c r="O8" s="418">
        <f>Sales!Q146</f>
        <v>77386.751999999993</v>
      </c>
      <c r="P8" s="418">
        <f>Sales!R146</f>
        <v>92864.102399999974</v>
      </c>
      <c r="Q8" s="418">
        <f>Sales!S146</f>
        <v>111436.92287999997</v>
      </c>
    </row>
    <row r="9" spans="2:24" x14ac:dyDescent="0.2">
      <c r="B9" s="439" t="s">
        <v>275</v>
      </c>
      <c r="G9" s="427">
        <f>Dart_Cost!C33/1000</f>
        <v>25858.31</v>
      </c>
      <c r="H9" s="427">
        <f>Dart_Cost!D33/1000</f>
        <v>40917.288999999997</v>
      </c>
      <c r="I9" s="427">
        <f>Dart_Cost!E33/1000</f>
        <v>44758.008999999998</v>
      </c>
      <c r="J9" s="444">
        <f>J10+J19+J28+J37+J44+J51</f>
        <v>27738.124</v>
      </c>
      <c r="K9" s="457">
        <f t="shared" ref="K9:L9" si="0">K10+K19+K28+K37+K44+K51</f>
        <v>27738.124</v>
      </c>
      <c r="L9" s="458">
        <f t="shared" si="0"/>
        <v>55476.248</v>
      </c>
      <c r="M9" s="469">
        <f t="shared" ref="M9" si="1">M10+M19+M28+M37+M44+M51</f>
        <v>58729.89671418049</v>
      </c>
      <c r="N9" s="469">
        <f t="shared" ref="N9" si="2">N10+N19+N28+N37+N44+N51</f>
        <v>69817.43178782145</v>
      </c>
      <c r="O9" s="469">
        <f t="shared" ref="O9" si="3">O10+O19+O28+O37+O44+O51</f>
        <v>83165.444985970142</v>
      </c>
      <c r="P9" s="469">
        <f t="shared" ref="P9" si="4">P10+P19+P28+P37+P44+P51</f>
        <v>99173.807515289052</v>
      </c>
      <c r="Q9" s="469">
        <f t="shared" ref="Q9" si="5">Q10+Q19+Q28+Q37+Q44+Q51</f>
        <v>118344.83743399076</v>
      </c>
    </row>
    <row r="10" spans="2:24" x14ac:dyDescent="0.2">
      <c r="B10" s="409"/>
      <c r="C10" s="409" t="s">
        <v>276</v>
      </c>
      <c r="D10" s="93"/>
      <c r="E10" s="93"/>
      <c r="F10" s="93"/>
      <c r="G10" s="451"/>
      <c r="H10" s="451"/>
      <c r="I10" s="451"/>
      <c r="J10" s="205">
        <f>J11+J15</f>
        <v>22029.607169846473</v>
      </c>
      <c r="K10" s="363">
        <f t="shared" ref="K10:L10" si="6">K11+K15</f>
        <v>22029.607169846473</v>
      </c>
      <c r="L10" s="206">
        <f t="shared" si="6"/>
        <v>44059.214339692946</v>
      </c>
      <c r="M10" s="95">
        <f t="shared" ref="M10" si="7">M11+M15</f>
        <v>45931.337729124854</v>
      </c>
      <c r="N10" s="95">
        <f t="shared" ref="N10" si="8">N11+N15</f>
        <v>55095.958431171428</v>
      </c>
      <c r="O10" s="95">
        <f t="shared" ref="O10" si="9">O11+O15</f>
        <v>66200.285468892282</v>
      </c>
      <c r="P10" s="95">
        <f t="shared" ref="P10" si="10">P11+P15</f>
        <v>79675.761382796496</v>
      </c>
      <c r="Q10" s="95">
        <f t="shared" ref="Q10" si="11">Q11+Q15</f>
        <v>95983.974740276739</v>
      </c>
    </row>
    <row r="11" spans="2:24" outlineLevel="1" x14ac:dyDescent="0.2">
      <c r="B11" s="93"/>
      <c r="C11" s="93"/>
      <c r="D11" s="97" t="s">
        <v>277</v>
      </c>
      <c r="E11" s="97"/>
      <c r="F11" s="97"/>
      <c r="G11" s="452"/>
      <c r="H11" s="452"/>
      <c r="I11" s="452"/>
      <c r="J11" s="445">
        <f>VALUE(Dart_Labor!S10)/1000</f>
        <v>20705.105136540496</v>
      </c>
      <c r="K11" s="447">
        <f>K12*K14</f>
        <v>20705.105136540496</v>
      </c>
      <c r="L11" s="460">
        <f>L12*L14</f>
        <v>41410.210273080993</v>
      </c>
      <c r="M11" s="426">
        <f t="shared" ref="M11:Q11" si="12">M12*M14</f>
        <v>43154.29846595999</v>
      </c>
      <c r="N11" s="426">
        <f t="shared" si="12"/>
        <v>51765.762968830211</v>
      </c>
      <c r="O11" s="426">
        <f t="shared" si="12"/>
        <v>62217.831033237337</v>
      </c>
      <c r="P11" s="426">
        <f t="shared" si="12"/>
        <v>74896.816060010562</v>
      </c>
      <c r="Q11" s="426">
        <f t="shared" si="12"/>
        <v>90215.787735674108</v>
      </c>
    </row>
    <row r="12" spans="2:24" outlineLevel="1" x14ac:dyDescent="0.2">
      <c r="B12" s="409"/>
      <c r="C12" s="409"/>
      <c r="D12" s="93"/>
      <c r="E12" s="440" t="s">
        <v>278</v>
      </c>
      <c r="F12" s="440"/>
      <c r="G12" s="453"/>
      <c r="H12" s="453"/>
      <c r="I12" s="453"/>
      <c r="J12" s="446">
        <f>VALUE(Dart_Labor!H10)</f>
        <v>784</v>
      </c>
      <c r="K12" s="456">
        <f>J12</f>
        <v>784</v>
      </c>
      <c r="L12" s="468">
        <f>K12</f>
        <v>784</v>
      </c>
      <c r="M12" s="441">
        <f>ROUND(M$5/M13,0)</f>
        <v>801</v>
      </c>
      <c r="N12" s="441">
        <f t="shared" ref="N12:Q12" si="13">ROUND(N$5/N13,0)</f>
        <v>942</v>
      </c>
      <c r="O12" s="441">
        <f t="shared" si="13"/>
        <v>1110</v>
      </c>
      <c r="P12" s="441">
        <f t="shared" si="13"/>
        <v>1310</v>
      </c>
      <c r="Q12" s="441">
        <f t="shared" si="13"/>
        <v>1547</v>
      </c>
    </row>
    <row r="13" spans="2:24" outlineLevel="1" x14ac:dyDescent="0.2">
      <c r="B13" s="409"/>
      <c r="C13" s="409"/>
      <c r="D13" s="93"/>
      <c r="E13" s="440"/>
      <c r="F13" s="97" t="s">
        <v>279</v>
      </c>
      <c r="G13" s="453"/>
      <c r="H13" s="453"/>
      <c r="I13" s="453"/>
      <c r="J13" s="445">
        <f>J$5/J12</f>
        <v>69.420918367346943</v>
      </c>
      <c r="K13" s="447">
        <f>K$5/K12</f>
        <v>69.420918367346943</v>
      </c>
      <c r="L13" s="461">
        <f>L$5/L12</f>
        <v>138.84183673469389</v>
      </c>
      <c r="M13" s="467">
        <f>Control!J106</f>
        <v>139</v>
      </c>
      <c r="N13" s="425">
        <f>Control!K106</f>
        <v>139</v>
      </c>
      <c r="O13" s="425">
        <f>Control!L106</f>
        <v>139</v>
      </c>
      <c r="P13" s="425">
        <f>Control!M106</f>
        <v>139</v>
      </c>
      <c r="Q13" s="425">
        <f>Control!N106</f>
        <v>139</v>
      </c>
    </row>
    <row r="14" spans="2:24" outlineLevel="1" x14ac:dyDescent="0.2">
      <c r="B14" s="409"/>
      <c r="C14" s="409"/>
      <c r="D14" s="93"/>
      <c r="E14" s="440" t="s">
        <v>280</v>
      </c>
      <c r="F14" s="440"/>
      <c r="G14" s="453"/>
      <c r="H14" s="453"/>
      <c r="I14" s="453"/>
      <c r="J14" s="446">
        <f>J11/J12</f>
        <v>26.409572878240429</v>
      </c>
      <c r="K14" s="456">
        <f>J14</f>
        <v>26.409572878240429</v>
      </c>
      <c r="L14" s="459">
        <f>J14+K14</f>
        <v>52.819145756480857</v>
      </c>
      <c r="M14" s="441">
        <f>Control!J107</f>
        <v>53.875528671610475</v>
      </c>
      <c r="N14" s="441">
        <f>Control!K107</f>
        <v>54.953039245042689</v>
      </c>
      <c r="O14" s="441">
        <f>Control!L107</f>
        <v>56.052100029943546</v>
      </c>
      <c r="P14" s="441">
        <f>Control!M107</f>
        <v>57.173142030542415</v>
      </c>
      <c r="Q14" s="441">
        <f>Control!N107</f>
        <v>58.316604871153267</v>
      </c>
    </row>
    <row r="15" spans="2:24" outlineLevel="1" x14ac:dyDescent="0.2">
      <c r="B15" s="93"/>
      <c r="C15" s="93"/>
      <c r="D15" s="442" t="s">
        <v>281</v>
      </c>
      <c r="E15" s="97"/>
      <c r="F15" s="97"/>
      <c r="G15" s="452"/>
      <c r="H15" s="452"/>
      <c r="I15" s="452"/>
      <c r="J15" s="445">
        <f>VALUE(Dart_Labor!S11)/1000</f>
        <v>1324.5020333059774</v>
      </c>
      <c r="K15" s="447">
        <f>K16*K18</f>
        <v>1324.5020333059774</v>
      </c>
      <c r="L15" s="460">
        <f>L16*L18</f>
        <v>2649.0040666119548</v>
      </c>
      <c r="M15" s="426">
        <f t="shared" ref="M15" si="14">M16*M18</f>
        <v>2777.039263164866</v>
      </c>
      <c r="N15" s="426">
        <f t="shared" ref="N15" si="15">N16*N18</f>
        <v>3330.1954623412184</v>
      </c>
      <c r="O15" s="426">
        <f t="shared" ref="O15" si="16">O16*O18</f>
        <v>3982.4544356549472</v>
      </c>
      <c r="P15" s="426">
        <f t="shared" ref="P15" si="17">P16*P18</f>
        <v>4778.9453227859367</v>
      </c>
      <c r="Q15" s="426">
        <f t="shared" ref="Q15" si="18">Q16*Q18</f>
        <v>5768.1870046026261</v>
      </c>
    </row>
    <row r="16" spans="2:24" outlineLevel="1" x14ac:dyDescent="0.2">
      <c r="B16" s="93"/>
      <c r="C16" s="93"/>
      <c r="D16" s="93"/>
      <c r="E16" s="440" t="s">
        <v>278</v>
      </c>
      <c r="F16" s="440"/>
      <c r="G16" s="453"/>
      <c r="H16" s="453"/>
      <c r="I16" s="453"/>
      <c r="J16" s="446">
        <f>VALUE(Dart_Labor!H11)</f>
        <v>72</v>
      </c>
      <c r="K16" s="456">
        <f>J16</f>
        <v>72</v>
      </c>
      <c r="L16" s="459">
        <f>K16</f>
        <v>72</v>
      </c>
      <c r="M16" s="441">
        <f>ROUND(M$5/M17,0)</f>
        <v>74</v>
      </c>
      <c r="N16" s="441">
        <f t="shared" ref="N16" si="19">ROUND(N$5/N17,0)</f>
        <v>87</v>
      </c>
      <c r="O16" s="441">
        <f t="shared" ref="O16" si="20">ROUND(O$5/O17,0)</f>
        <v>102</v>
      </c>
      <c r="P16" s="441">
        <f t="shared" ref="P16" si="21">ROUND(P$5/P17,0)</f>
        <v>120</v>
      </c>
      <c r="Q16" s="441">
        <f t="shared" ref="Q16" si="22">ROUND(Q$5/Q17,0)</f>
        <v>142</v>
      </c>
    </row>
    <row r="17" spans="2:17" outlineLevel="1" x14ac:dyDescent="0.2">
      <c r="B17" s="93"/>
      <c r="C17" s="93"/>
      <c r="D17" s="93"/>
      <c r="E17" s="440"/>
      <c r="F17" s="97" t="s">
        <v>279</v>
      </c>
      <c r="G17" s="453"/>
      <c r="H17" s="453"/>
      <c r="I17" s="453"/>
      <c r="J17" s="445">
        <f>J$5/J16</f>
        <v>755.91666666666663</v>
      </c>
      <c r="K17" s="447">
        <f>K$5/K16</f>
        <v>755.91666666666663</v>
      </c>
      <c r="L17" s="461">
        <f>L$5/L16</f>
        <v>1511.8333333333333</v>
      </c>
      <c r="M17" s="426">
        <f>Control!J108</f>
        <v>1511.8333333333333</v>
      </c>
      <c r="N17" s="426">
        <f>Control!K108</f>
        <v>1511.8333333333333</v>
      </c>
      <c r="O17" s="426">
        <f>Control!L108</f>
        <v>1511.8333333333333</v>
      </c>
      <c r="P17" s="426">
        <f>Control!M108</f>
        <v>1511.8333333333333</v>
      </c>
      <c r="Q17" s="426">
        <f>Control!N108</f>
        <v>1511.8333333333333</v>
      </c>
    </row>
    <row r="18" spans="2:17" outlineLevel="1" x14ac:dyDescent="0.2">
      <c r="B18" s="93"/>
      <c r="C18" s="93"/>
      <c r="D18" s="93"/>
      <c r="E18" s="440" t="s">
        <v>280</v>
      </c>
      <c r="F18" s="440"/>
      <c r="G18" s="453"/>
      <c r="H18" s="453"/>
      <c r="I18" s="453"/>
      <c r="J18" s="446">
        <f>J15/J16</f>
        <v>18.39586157369413</v>
      </c>
      <c r="K18" s="456">
        <f>J18</f>
        <v>18.39586157369413</v>
      </c>
      <c r="L18" s="459">
        <f>J18+K18</f>
        <v>36.791723147388261</v>
      </c>
      <c r="M18" s="441">
        <f>Control!J109</f>
        <v>37.527557610336025</v>
      </c>
      <c r="N18" s="441">
        <f>Control!K109</f>
        <v>38.278108762542743</v>
      </c>
      <c r="O18" s="441">
        <f>Control!L109</f>
        <v>39.0436709377936</v>
      </c>
      <c r="P18" s="441">
        <f>Control!M109</f>
        <v>39.824544356549474</v>
      </c>
      <c r="Q18" s="441">
        <f>Control!N109</f>
        <v>40.621035243680467</v>
      </c>
    </row>
    <row r="19" spans="2:17" x14ac:dyDescent="0.2">
      <c r="B19" s="409"/>
      <c r="C19" s="409" t="s">
        <v>282</v>
      </c>
      <c r="D19" s="409"/>
      <c r="E19" s="95"/>
      <c r="F19" s="95"/>
      <c r="G19" s="454"/>
      <c r="H19" s="454"/>
      <c r="I19" s="454"/>
      <c r="J19" s="205">
        <f>J20+J24</f>
        <v>715.81513999684546</v>
      </c>
      <c r="K19" s="363">
        <f t="shared" ref="K19" si="23">K20+K24</f>
        <v>715.81513999684535</v>
      </c>
      <c r="L19" s="206">
        <f t="shared" ref="L19" si="24">L20+L24</f>
        <v>1431.6302799936907</v>
      </c>
      <c r="M19" s="95">
        <f t="shared" ref="M19" si="25">M20+M24</f>
        <v>1748.1387085362705</v>
      </c>
      <c r="N19" s="95">
        <f t="shared" ref="N19" si="26">N20+N24</f>
        <v>2124.0897126825694</v>
      </c>
      <c r="O19" s="95">
        <f t="shared" ref="O19" si="27">O20+O24</f>
        <v>2615.8305162206075</v>
      </c>
      <c r="P19" s="95">
        <f t="shared" ref="P19" si="28">P20+P24</f>
        <v>3175.6593441682971</v>
      </c>
      <c r="Q19" s="95">
        <f t="shared" ref="Q19" si="29">Q20+Q24</f>
        <v>3912.6380174472315</v>
      </c>
    </row>
    <row r="20" spans="2:17" outlineLevel="1" x14ac:dyDescent="0.2">
      <c r="B20" s="93"/>
      <c r="C20" s="93"/>
      <c r="D20" s="97" t="s">
        <v>277</v>
      </c>
      <c r="E20" s="97"/>
      <c r="F20" s="97"/>
      <c r="G20" s="454"/>
      <c r="H20" s="454"/>
      <c r="I20" s="454"/>
      <c r="J20" s="445">
        <f>VALUE(Dart_Labor!S12)/1000</f>
        <v>670.2990975381631</v>
      </c>
      <c r="K20" s="447">
        <f>K21*K23</f>
        <v>670.29909753816298</v>
      </c>
      <c r="L20" s="460">
        <f>L21*L23</f>
        <v>1340.598195076326</v>
      </c>
      <c r="M20" s="426">
        <f t="shared" ref="M20" si="30">M21*M23</f>
        <v>1655.2859819205585</v>
      </c>
      <c r="N20" s="426">
        <f t="shared" ref="N20" si="31">N21*N23</f>
        <v>1982.0250409605299</v>
      </c>
      <c r="O20" s="426">
        <f t="shared" ref="O20" si="32">O21*O23</f>
        <v>2470.9245510641272</v>
      </c>
      <c r="P20" s="426">
        <f t="shared" ref="P20" si="33">P21*P23</f>
        <v>2978.5872315554843</v>
      </c>
      <c r="Q20" s="426">
        <f t="shared" ref="Q20" si="34">Q21*Q23</f>
        <v>3661.3710738658951</v>
      </c>
    </row>
    <row r="21" spans="2:17" outlineLevel="1" x14ac:dyDescent="0.2">
      <c r="B21" s="93"/>
      <c r="C21" s="93"/>
      <c r="D21" s="93"/>
      <c r="E21" s="440" t="s">
        <v>278</v>
      </c>
      <c r="F21" s="440"/>
      <c r="G21" s="454"/>
      <c r="H21" s="454"/>
      <c r="I21" s="454"/>
      <c r="J21" s="446">
        <f>VALUE(Dart_Labor!H12)</f>
        <v>19</v>
      </c>
      <c r="K21" s="456">
        <f>J21</f>
        <v>19</v>
      </c>
      <c r="L21" s="468">
        <f>K21</f>
        <v>19</v>
      </c>
      <c r="M21" s="441">
        <f>ROUND(M$7/M22,0)</f>
        <v>23</v>
      </c>
      <c r="N21" s="441">
        <f t="shared" ref="N21:Q21" si="35">ROUND(N$7/N22,0)</f>
        <v>27</v>
      </c>
      <c r="O21" s="441">
        <f t="shared" si="35"/>
        <v>33</v>
      </c>
      <c r="P21" s="441">
        <f t="shared" si="35"/>
        <v>39</v>
      </c>
      <c r="Q21" s="441">
        <f t="shared" si="35"/>
        <v>47</v>
      </c>
    </row>
    <row r="22" spans="2:17" outlineLevel="1" x14ac:dyDescent="0.2">
      <c r="B22" s="93"/>
      <c r="C22" s="93"/>
      <c r="D22" s="93"/>
      <c r="E22" s="440"/>
      <c r="F22" s="97" t="s">
        <v>283</v>
      </c>
      <c r="G22" s="454"/>
      <c r="H22" s="454"/>
      <c r="I22" s="454"/>
      <c r="J22" s="445">
        <f>J$7/J21</f>
        <v>3640.6315789473683</v>
      </c>
      <c r="K22" s="447">
        <f t="shared" ref="K22:L22" si="36">K$7/K21</f>
        <v>3640.6315789473683</v>
      </c>
      <c r="L22" s="461">
        <f t="shared" si="36"/>
        <v>7281.2631578947367</v>
      </c>
      <c r="M22" s="426">
        <f>Control!J111</f>
        <v>7281.2631578947367</v>
      </c>
      <c r="N22" s="426">
        <f>Control!K111</f>
        <v>7281.2631578947367</v>
      </c>
      <c r="O22" s="426">
        <f>Control!L111</f>
        <v>7281.2631578947367</v>
      </c>
      <c r="P22" s="426">
        <f>Control!M111</f>
        <v>7281.2631578947367</v>
      </c>
      <c r="Q22" s="426">
        <f>Control!N111</f>
        <v>7281.2631578947367</v>
      </c>
    </row>
    <row r="23" spans="2:17" outlineLevel="1" x14ac:dyDescent="0.2">
      <c r="B23" s="93"/>
      <c r="C23" s="93"/>
      <c r="D23" s="93"/>
      <c r="E23" s="440" t="s">
        <v>280</v>
      </c>
      <c r="F23" s="440"/>
      <c r="G23" s="454"/>
      <c r="H23" s="454"/>
      <c r="I23" s="454"/>
      <c r="J23" s="446">
        <f>J20/J21</f>
        <v>35.278899870429633</v>
      </c>
      <c r="K23" s="456">
        <f>J23</f>
        <v>35.278899870429633</v>
      </c>
      <c r="L23" s="459">
        <f>J23+K23</f>
        <v>70.557799740859267</v>
      </c>
      <c r="M23" s="441">
        <f>Control!J112</f>
        <v>71.96895573567646</v>
      </c>
      <c r="N23" s="441">
        <f>Control!K112</f>
        <v>73.408334850389991</v>
      </c>
      <c r="O23" s="441">
        <f>Control!L112</f>
        <v>74.876501547397794</v>
      </c>
      <c r="P23" s="441">
        <f>Control!M112</f>
        <v>76.37403157834575</v>
      </c>
      <c r="Q23" s="441">
        <f>Control!N112</f>
        <v>77.901512209912667</v>
      </c>
    </row>
    <row r="24" spans="2:17" outlineLevel="1" x14ac:dyDescent="0.2">
      <c r="B24" s="93"/>
      <c r="C24" s="93"/>
      <c r="D24" s="442" t="s">
        <v>281</v>
      </c>
      <c r="E24" s="97"/>
      <c r="F24" s="97"/>
      <c r="G24" s="454"/>
      <c r="H24" s="454"/>
      <c r="I24" s="454"/>
      <c r="J24" s="445">
        <f>VALUE(Dart_Labor!S13)/1000</f>
        <v>45.516042458682342</v>
      </c>
      <c r="K24" s="447">
        <f>K25*K27</f>
        <v>45.516042458682342</v>
      </c>
      <c r="L24" s="460">
        <f>L25*L27</f>
        <v>91.032084917364685</v>
      </c>
      <c r="M24" s="426">
        <f t="shared" ref="M24" si="37">M25*M27</f>
        <v>92.852726615711987</v>
      </c>
      <c r="N24" s="426">
        <f t="shared" ref="N24" si="38">N25*N27</f>
        <v>142.06467172203935</v>
      </c>
      <c r="O24" s="426">
        <f t="shared" ref="O24" si="39">O25*O27</f>
        <v>144.90596515648014</v>
      </c>
      <c r="P24" s="426">
        <f t="shared" ref="P24" si="40">P25*P27</f>
        <v>197.07211261281296</v>
      </c>
      <c r="Q24" s="426">
        <f t="shared" ref="Q24" si="41">Q25*Q27</f>
        <v>251.26694358133651</v>
      </c>
    </row>
    <row r="25" spans="2:17" ht="13.9" customHeight="1" outlineLevel="1" x14ac:dyDescent="0.2">
      <c r="B25" s="93"/>
      <c r="C25" s="93"/>
      <c r="D25" s="93"/>
      <c r="E25" s="440" t="s">
        <v>278</v>
      </c>
      <c r="F25" s="440"/>
      <c r="G25" s="454"/>
      <c r="H25" s="454"/>
      <c r="I25" s="454"/>
      <c r="J25" s="446">
        <f>VALUE(Dart_Labor!H13)</f>
        <v>2</v>
      </c>
      <c r="K25" s="456">
        <f>J25</f>
        <v>2</v>
      </c>
      <c r="L25" s="459">
        <f>K25</f>
        <v>2</v>
      </c>
      <c r="M25" s="441">
        <f>ROUND(M$7/M26,0)</f>
        <v>2</v>
      </c>
      <c r="N25" s="441">
        <f t="shared" ref="N25" si="42">ROUND(N$7/N26,0)</f>
        <v>3</v>
      </c>
      <c r="O25" s="441">
        <f t="shared" ref="O25" si="43">ROUND(O$7/O26,0)</f>
        <v>3</v>
      </c>
      <c r="P25" s="441">
        <f t="shared" ref="P25" si="44">ROUND(P$7/P26,0)</f>
        <v>4</v>
      </c>
      <c r="Q25" s="441">
        <f t="shared" ref="Q25" si="45">ROUND(Q$7/Q26,0)</f>
        <v>5</v>
      </c>
    </row>
    <row r="26" spans="2:17" outlineLevel="1" x14ac:dyDescent="0.2">
      <c r="B26" s="93"/>
      <c r="C26" s="93"/>
      <c r="D26" s="93"/>
      <c r="E26" s="440"/>
      <c r="F26" s="97" t="s">
        <v>283</v>
      </c>
      <c r="G26" s="454"/>
      <c r="H26" s="454"/>
      <c r="I26" s="454"/>
      <c r="J26" s="445">
        <f>J$7/J25</f>
        <v>34586</v>
      </c>
      <c r="K26" s="447">
        <f t="shared" ref="K26" si="46">K$7/K25</f>
        <v>34586</v>
      </c>
      <c r="L26" s="461">
        <f t="shared" ref="L26" si="47">L$7/L25</f>
        <v>69172</v>
      </c>
      <c r="M26" s="426">
        <f>Control!J113</f>
        <v>69172</v>
      </c>
      <c r="N26" s="426">
        <f>Control!K113</f>
        <v>69172</v>
      </c>
      <c r="O26" s="426">
        <f>Control!L113</f>
        <v>69172</v>
      </c>
      <c r="P26" s="426">
        <f>Control!M113</f>
        <v>69172</v>
      </c>
      <c r="Q26" s="426">
        <f>Control!N113</f>
        <v>69172</v>
      </c>
    </row>
    <row r="27" spans="2:17" outlineLevel="1" x14ac:dyDescent="0.2">
      <c r="B27" s="93"/>
      <c r="C27" s="93"/>
      <c r="D27" s="93"/>
      <c r="E27" s="440" t="s">
        <v>280</v>
      </c>
      <c r="F27" s="440"/>
      <c r="G27" s="454"/>
      <c r="H27" s="454"/>
      <c r="I27" s="454"/>
      <c r="J27" s="446">
        <f>J24/J25</f>
        <v>22.758021229341171</v>
      </c>
      <c r="K27" s="456">
        <f>J27</f>
        <v>22.758021229341171</v>
      </c>
      <c r="L27" s="459">
        <f>J27+K27</f>
        <v>45.516042458682342</v>
      </c>
      <c r="M27" s="441">
        <f>Control!J114</f>
        <v>46.426363307855993</v>
      </c>
      <c r="N27" s="441">
        <f>Control!K114</f>
        <v>47.354890574013112</v>
      </c>
      <c r="O27" s="441">
        <f>Control!L114</f>
        <v>48.301988385493374</v>
      </c>
      <c r="P27" s="441">
        <f>Control!M114</f>
        <v>49.26802815320324</v>
      </c>
      <c r="Q27" s="441">
        <f>Control!N114</f>
        <v>50.253388716267303</v>
      </c>
    </row>
    <row r="28" spans="2:17" x14ac:dyDescent="0.2">
      <c r="B28" s="94"/>
      <c r="C28" s="94" t="s">
        <v>284</v>
      </c>
      <c r="D28" s="411"/>
      <c r="E28" s="93"/>
      <c r="F28" s="93"/>
      <c r="G28" s="455"/>
      <c r="H28" s="455"/>
      <c r="I28" s="455"/>
      <c r="J28" s="205">
        <f>J29+J33</f>
        <v>1202.3180352831534</v>
      </c>
      <c r="K28" s="363">
        <f t="shared" ref="K28" si="48">K29+K33</f>
        <v>1202.3180352831534</v>
      </c>
      <c r="L28" s="206">
        <f t="shared" ref="L28" si="49">L29+L33</f>
        <v>2404.6360705663069</v>
      </c>
      <c r="M28" s="95">
        <f t="shared" ref="M28" si="50">M29+M33</f>
        <v>2956.9264094680566</v>
      </c>
      <c r="N28" s="95">
        <f t="shared" ref="N28" si="51">N29+N33</f>
        <v>3605.3530289121068</v>
      </c>
      <c r="O28" s="95">
        <f t="shared" ref="O28" si="52">O29+O33</f>
        <v>4426.0575654245322</v>
      </c>
      <c r="P28" s="95">
        <f t="shared" ref="P28" si="53">P29+P33</f>
        <v>5434.2217119450906</v>
      </c>
      <c r="Q28" s="95">
        <f t="shared" ref="Q28" si="54">Q29+Q33</f>
        <v>6560.5395218774929</v>
      </c>
    </row>
    <row r="29" spans="2:17" outlineLevel="1" x14ac:dyDescent="0.2">
      <c r="B29" s="94"/>
      <c r="C29" s="94"/>
      <c r="D29" s="97" t="s">
        <v>277</v>
      </c>
      <c r="E29" s="97"/>
      <c r="F29" s="97"/>
      <c r="G29" s="454"/>
      <c r="H29" s="454"/>
      <c r="I29" s="454"/>
      <c r="J29" s="445">
        <f>VALUE(Dart_Labor!S14)/1000</f>
        <v>901.17408466041877</v>
      </c>
      <c r="K29" s="447">
        <f>K30*K32</f>
        <v>901.17408466041877</v>
      </c>
      <c r="L29" s="460">
        <f>L30*L32</f>
        <v>1802.3481693208375</v>
      </c>
      <c r="M29" s="426">
        <f t="shared" ref="M29" si="55">M30*M32</f>
        <v>2206.0741592487047</v>
      </c>
      <c r="N29" s="426">
        <f t="shared" ref="N29" si="56">N30*N32</f>
        <v>2700.234770920415</v>
      </c>
      <c r="O29" s="426">
        <f t="shared" ref="O29" si="57">O30*O32</f>
        <v>3289.7860292380392</v>
      </c>
      <c r="P29" s="426">
        <f t="shared" ref="P29" si="58">P30*P32</f>
        <v>4057.9128137392004</v>
      </c>
      <c r="Q29" s="426">
        <f t="shared" ref="Q29" si="59">Q30*Q32</f>
        <v>4935.046275785905</v>
      </c>
    </row>
    <row r="30" spans="2:17" outlineLevel="1" x14ac:dyDescent="0.2">
      <c r="B30" s="94"/>
      <c r="C30" s="94"/>
      <c r="D30" s="93"/>
      <c r="E30" s="440" t="s">
        <v>278</v>
      </c>
      <c r="F30" s="440"/>
      <c r="G30" s="454"/>
      <c r="H30" s="454"/>
      <c r="I30" s="454"/>
      <c r="J30" s="446">
        <f>VALUE(Dart_Labor!H14)</f>
        <v>25</v>
      </c>
      <c r="K30" s="456">
        <f>J30</f>
        <v>25</v>
      </c>
      <c r="L30" s="468">
        <f>K30</f>
        <v>25</v>
      </c>
      <c r="M30" s="441">
        <f>ROUND(M$8/M31,0)</f>
        <v>30</v>
      </c>
      <c r="N30" s="441">
        <f t="shared" ref="N30:Q30" si="60">ROUND(N$8/N31,0)</f>
        <v>36</v>
      </c>
      <c r="O30" s="441">
        <f t="shared" si="60"/>
        <v>43</v>
      </c>
      <c r="P30" s="441">
        <f t="shared" si="60"/>
        <v>52</v>
      </c>
      <c r="Q30" s="441">
        <f t="shared" si="60"/>
        <v>62</v>
      </c>
    </row>
    <row r="31" spans="2:17" outlineLevel="1" x14ac:dyDescent="0.2">
      <c r="B31" s="94"/>
      <c r="C31" s="94"/>
      <c r="D31" s="93"/>
      <c r="E31" s="440"/>
      <c r="F31" s="97" t="s">
        <v>285</v>
      </c>
      <c r="G31" s="454"/>
      <c r="H31" s="454"/>
      <c r="I31" s="454"/>
      <c r="J31" s="445">
        <f>J$8/J30</f>
        <v>895.68</v>
      </c>
      <c r="K31" s="447">
        <f t="shared" ref="K31:L31" si="61">K$8/K30</f>
        <v>895.68</v>
      </c>
      <c r="L31" s="461">
        <f t="shared" si="61"/>
        <v>1791.36</v>
      </c>
      <c r="M31" s="426">
        <f>Control!J116</f>
        <v>1791.36</v>
      </c>
      <c r="N31" s="426">
        <f>Control!K116</f>
        <v>1791.36</v>
      </c>
      <c r="O31" s="426">
        <f>Control!L116</f>
        <v>1791.36</v>
      </c>
      <c r="P31" s="426">
        <f>Control!M116</f>
        <v>1791.36</v>
      </c>
      <c r="Q31" s="426">
        <f>Control!N116</f>
        <v>1791.36</v>
      </c>
    </row>
    <row r="32" spans="2:17" outlineLevel="1" x14ac:dyDescent="0.2">
      <c r="B32" s="94"/>
      <c r="C32" s="94"/>
      <c r="D32" s="93"/>
      <c r="E32" s="440" t="s">
        <v>280</v>
      </c>
      <c r="F32" s="440"/>
      <c r="G32" s="454"/>
      <c r="H32" s="454"/>
      <c r="I32" s="454"/>
      <c r="J32" s="446">
        <f>J29/J30</f>
        <v>36.046963386416749</v>
      </c>
      <c r="K32" s="456">
        <f>J32</f>
        <v>36.046963386416749</v>
      </c>
      <c r="L32" s="459">
        <f>J32+K32</f>
        <v>72.093926772833498</v>
      </c>
      <c r="M32" s="441">
        <f>Control!J117</f>
        <v>73.535805308290165</v>
      </c>
      <c r="N32" s="441">
        <f>Control!K117</f>
        <v>75.006521414455975</v>
      </c>
      <c r="O32" s="441">
        <f>Control!L117</f>
        <v>76.5066518427451</v>
      </c>
      <c r="P32" s="441">
        <f>Control!M117</f>
        <v>78.036784879600006</v>
      </c>
      <c r="Q32" s="441">
        <f>Control!N117</f>
        <v>79.597520577192014</v>
      </c>
    </row>
    <row r="33" spans="2:17" outlineLevel="1" x14ac:dyDescent="0.2">
      <c r="B33" s="94"/>
      <c r="C33" s="94"/>
      <c r="D33" s="442" t="s">
        <v>281</v>
      </c>
      <c r="E33" s="97"/>
      <c r="F33" s="97"/>
      <c r="G33" s="454"/>
      <c r="H33" s="454"/>
      <c r="I33" s="454"/>
      <c r="J33" s="445">
        <f>VALUE(Dart_Labor!S15)/1000</f>
        <v>301.14395062273474</v>
      </c>
      <c r="K33" s="447">
        <f>K34*K36</f>
        <v>301.14395062273474</v>
      </c>
      <c r="L33" s="460">
        <f>L34*L36</f>
        <v>602.28790124546947</v>
      </c>
      <c r="M33" s="426">
        <f t="shared" ref="M33" si="62">M34*M36</f>
        <v>750.85225021935207</v>
      </c>
      <c r="N33" s="426">
        <f t="shared" ref="N33" si="63">N34*N36</f>
        <v>905.11825799169173</v>
      </c>
      <c r="O33" s="426">
        <f t="shared" ref="O33" si="64">O34*O36</f>
        <v>1136.271536186493</v>
      </c>
      <c r="P33" s="426">
        <f t="shared" ref="P33" si="65">P34*P36</f>
        <v>1376.3088982058898</v>
      </c>
      <c r="Q33" s="426">
        <f t="shared" ref="Q33" si="66">Q34*Q36</f>
        <v>1625.4932460915877</v>
      </c>
    </row>
    <row r="34" spans="2:17" outlineLevel="1" x14ac:dyDescent="0.2">
      <c r="B34" s="94"/>
      <c r="C34" s="94"/>
      <c r="D34" s="93"/>
      <c r="E34" s="440" t="s">
        <v>278</v>
      </c>
      <c r="F34" s="440"/>
      <c r="G34" s="454"/>
      <c r="H34" s="454"/>
      <c r="I34" s="454"/>
      <c r="J34" s="446">
        <f>VALUE(Dart_Labor!H15)</f>
        <v>9</v>
      </c>
      <c r="K34" s="456">
        <f>J34</f>
        <v>9</v>
      </c>
      <c r="L34" s="459">
        <f>K34</f>
        <v>9</v>
      </c>
      <c r="M34" s="441">
        <f>ROUND(M$8/M35,0)</f>
        <v>11</v>
      </c>
      <c r="N34" s="441">
        <f t="shared" ref="N34" si="67">ROUND(N$8/N35,0)</f>
        <v>13</v>
      </c>
      <c r="O34" s="441">
        <f t="shared" ref="O34" si="68">ROUND(O$8/O35,0)</f>
        <v>16</v>
      </c>
      <c r="P34" s="441">
        <f t="shared" ref="P34" si="69">ROUND(P$8/P35,0)</f>
        <v>19</v>
      </c>
      <c r="Q34" s="441">
        <f t="shared" ref="Q34" si="70">ROUND(Q$8/Q35,0)</f>
        <v>22</v>
      </c>
    </row>
    <row r="35" spans="2:17" outlineLevel="1" x14ac:dyDescent="0.2">
      <c r="B35" s="94"/>
      <c r="C35" s="94"/>
      <c r="D35" s="93"/>
      <c r="E35" s="440"/>
      <c r="F35" s="97" t="s">
        <v>285</v>
      </c>
      <c r="G35" s="454"/>
      <c r="H35" s="454"/>
      <c r="I35" s="454"/>
      <c r="J35" s="445">
        <f>J$8/J34</f>
        <v>2488</v>
      </c>
      <c r="K35" s="447">
        <f t="shared" ref="K35" si="71">K$8/K34</f>
        <v>2488</v>
      </c>
      <c r="L35" s="461">
        <f t="shared" ref="L35" si="72">L$8/L34</f>
        <v>4976</v>
      </c>
      <c r="M35" s="426">
        <f>Control!J118</f>
        <v>4976</v>
      </c>
      <c r="N35" s="426">
        <f>Control!K118</f>
        <v>4976</v>
      </c>
      <c r="O35" s="426">
        <f>Control!L118</f>
        <v>4976</v>
      </c>
      <c r="P35" s="426">
        <f>Control!M118</f>
        <v>4976</v>
      </c>
      <c r="Q35" s="426">
        <f>Control!N118</f>
        <v>4976</v>
      </c>
    </row>
    <row r="36" spans="2:17" outlineLevel="1" x14ac:dyDescent="0.2">
      <c r="B36" s="93"/>
      <c r="C36" s="93"/>
      <c r="D36" s="93"/>
      <c r="E36" s="440" t="s">
        <v>280</v>
      </c>
      <c r="F36" s="440"/>
      <c r="G36" s="454"/>
      <c r="H36" s="454"/>
      <c r="I36" s="454"/>
      <c r="J36" s="446">
        <f>J33/J34</f>
        <v>33.460438958081639</v>
      </c>
      <c r="K36" s="456">
        <f>J36</f>
        <v>33.460438958081639</v>
      </c>
      <c r="L36" s="459">
        <f>J36+K36</f>
        <v>66.920877916163278</v>
      </c>
      <c r="M36" s="441">
        <f>Control!J119</f>
        <v>68.259295474486549</v>
      </c>
      <c r="N36" s="441">
        <f>Control!K119</f>
        <v>69.624481383976288</v>
      </c>
      <c r="O36" s="441">
        <f>Control!L119</f>
        <v>71.016971011655812</v>
      </c>
      <c r="P36" s="441">
        <f>Control!M119</f>
        <v>72.437310431888932</v>
      </c>
      <c r="Q36" s="441">
        <f>Control!N119</f>
        <v>73.886056640526718</v>
      </c>
    </row>
    <row r="37" spans="2:17" x14ac:dyDescent="0.2">
      <c r="B37" s="94"/>
      <c r="C37" s="94" t="s">
        <v>286</v>
      </c>
      <c r="D37" s="93"/>
      <c r="E37" s="93"/>
      <c r="F37" s="93"/>
      <c r="G37" s="455"/>
      <c r="H37" s="455"/>
      <c r="I37" s="455"/>
      <c r="J37" s="205">
        <f>J38+J41</f>
        <v>786.1138781213906</v>
      </c>
      <c r="K37" s="363">
        <f t="shared" ref="K37" si="73">K38+K41</f>
        <v>786.1138781213906</v>
      </c>
      <c r="L37" s="206">
        <f t="shared" ref="L37" si="74">L38+L41</f>
        <v>1572.2277562427812</v>
      </c>
      <c r="M37" s="95">
        <f>M38+M41</f>
        <v>1721.1216796797523</v>
      </c>
      <c r="N37" s="95">
        <f t="shared" ref="N37:Q37" si="75">N38+N41</f>
        <v>1995.1408246300625</v>
      </c>
      <c r="O37" s="95">
        <f t="shared" si="75"/>
        <v>2279.4322867065134</v>
      </c>
      <c r="P37" s="95">
        <f t="shared" si="75"/>
        <v>2574.2973509361705</v>
      </c>
      <c r="Q37" s="95">
        <f t="shared" si="75"/>
        <v>2880.0452448203314</v>
      </c>
    </row>
    <row r="38" spans="2:17" outlineLevel="1" x14ac:dyDescent="0.2">
      <c r="B38" s="93"/>
      <c r="C38" s="93"/>
      <c r="D38" s="97" t="s">
        <v>277</v>
      </c>
      <c r="E38" s="97"/>
      <c r="F38" s="97"/>
      <c r="G38" s="454"/>
      <c r="H38" s="454"/>
      <c r="I38" s="454"/>
      <c r="J38" s="445">
        <f>VALUE(Dart_Labor!S16)/1000</f>
        <v>476.17620495650215</v>
      </c>
      <c r="K38" s="447">
        <f>K39*K40</f>
        <v>476.17620495650215</v>
      </c>
      <c r="L38" s="460">
        <f>L39*L40</f>
        <v>952.35240991300429</v>
      </c>
      <c r="M38" s="426">
        <f t="shared" ref="M38:Q38" si="76">M39*M40</f>
        <v>1036.1594219853487</v>
      </c>
      <c r="N38" s="426">
        <f t="shared" si="76"/>
        <v>1188.9929367281875</v>
      </c>
      <c r="O38" s="426">
        <f t="shared" si="76"/>
        <v>1347.5253282919459</v>
      </c>
      <c r="P38" s="426">
        <f t="shared" si="76"/>
        <v>1511.9234183435635</v>
      </c>
      <c r="Q38" s="426">
        <f t="shared" si="76"/>
        <v>1682.3584218659289</v>
      </c>
    </row>
    <row r="39" spans="2:17" outlineLevel="1" x14ac:dyDescent="0.2">
      <c r="B39" s="93"/>
      <c r="C39" s="93"/>
      <c r="D39" s="93"/>
      <c r="E39" s="440" t="s">
        <v>278</v>
      </c>
      <c r="F39" s="440"/>
      <c r="G39" s="454"/>
      <c r="H39" s="454"/>
      <c r="I39" s="454"/>
      <c r="J39" s="446">
        <f>VALUE(Dart_Labor!H16)</f>
        <v>15</v>
      </c>
      <c r="K39" s="456">
        <f>J39</f>
        <v>15</v>
      </c>
      <c r="L39" s="459">
        <f>K39</f>
        <v>15</v>
      </c>
      <c r="M39" s="441">
        <f>Control!J121</f>
        <v>16</v>
      </c>
      <c r="N39" s="441">
        <f>Control!K121</f>
        <v>18</v>
      </c>
      <c r="O39" s="441">
        <f>Control!L121</f>
        <v>20</v>
      </c>
      <c r="P39" s="441">
        <f>Control!M121</f>
        <v>22</v>
      </c>
      <c r="Q39" s="441">
        <f>Control!N121</f>
        <v>24</v>
      </c>
    </row>
    <row r="40" spans="2:17" outlineLevel="1" x14ac:dyDescent="0.2">
      <c r="B40" s="93"/>
      <c r="C40" s="93"/>
      <c r="D40" s="93"/>
      <c r="E40" s="440" t="s">
        <v>280</v>
      </c>
      <c r="F40" s="440"/>
      <c r="G40" s="454"/>
      <c r="H40" s="454"/>
      <c r="I40" s="454"/>
      <c r="J40" s="446">
        <f>J38/J39</f>
        <v>31.745080330433478</v>
      </c>
      <c r="K40" s="456">
        <f>J40</f>
        <v>31.745080330433478</v>
      </c>
      <c r="L40" s="459">
        <f>J40+K40</f>
        <v>63.490160660866955</v>
      </c>
      <c r="M40" s="441">
        <f>Control!J122</f>
        <v>64.759963874084292</v>
      </c>
      <c r="N40" s="441">
        <f>Control!K122</f>
        <v>66.055163151565978</v>
      </c>
      <c r="O40" s="441">
        <f>Control!L122</f>
        <v>67.376266414597296</v>
      </c>
      <c r="P40" s="441">
        <f>Control!M122</f>
        <v>68.723791742889247</v>
      </c>
      <c r="Q40" s="441">
        <f>Control!N122</f>
        <v>70.098267577747038</v>
      </c>
    </row>
    <row r="41" spans="2:17" outlineLevel="1" x14ac:dyDescent="0.2">
      <c r="B41" s="93"/>
      <c r="C41" s="93"/>
      <c r="D41" s="442" t="s">
        <v>281</v>
      </c>
      <c r="E41" s="97"/>
      <c r="F41" s="97"/>
      <c r="G41" s="454"/>
      <c r="H41" s="454"/>
      <c r="I41" s="454"/>
      <c r="J41" s="445">
        <f>VALUE(Dart_Labor!S17)/1000</f>
        <v>309.93767316488851</v>
      </c>
      <c r="K41" s="447">
        <f>K42*K43</f>
        <v>309.93767316488851</v>
      </c>
      <c r="L41" s="460">
        <f>L42*L43</f>
        <v>619.87534632977702</v>
      </c>
      <c r="M41" s="426">
        <f t="shared" ref="M41" si="77">M42*M43</f>
        <v>684.96225769440366</v>
      </c>
      <c r="N41" s="426">
        <f t="shared" ref="N41" si="78">N42*N43</f>
        <v>806.14788790187504</v>
      </c>
      <c r="O41" s="426">
        <f t="shared" ref="O41" si="79">O42*O43</f>
        <v>931.9069584145675</v>
      </c>
      <c r="P41" s="426">
        <f t="shared" ref="P41" si="80">P42*P43</f>
        <v>1062.3739325926069</v>
      </c>
      <c r="Q41" s="426">
        <f t="shared" ref="Q41" si="81">Q42*Q43</f>
        <v>1197.6868229544023</v>
      </c>
    </row>
    <row r="42" spans="2:17" outlineLevel="1" x14ac:dyDescent="0.2">
      <c r="B42" s="93"/>
      <c r="C42" s="93"/>
      <c r="D42" s="93"/>
      <c r="E42" s="440" t="s">
        <v>278</v>
      </c>
      <c r="F42" s="440"/>
      <c r="G42" s="454"/>
      <c r="H42" s="454"/>
      <c r="I42" s="454"/>
      <c r="J42" s="446">
        <f>VALUE(Dart_Labor!H17)</f>
        <v>12</v>
      </c>
      <c r="K42" s="456">
        <f>J42</f>
        <v>12</v>
      </c>
      <c r="L42" s="459">
        <f>K42</f>
        <v>12</v>
      </c>
      <c r="M42" s="441">
        <f>Control!J123</f>
        <v>13</v>
      </c>
      <c r="N42" s="441">
        <f>Control!K123</f>
        <v>15</v>
      </c>
      <c r="O42" s="441">
        <f>Control!L123</f>
        <v>17</v>
      </c>
      <c r="P42" s="441">
        <f>Control!M123</f>
        <v>19</v>
      </c>
      <c r="Q42" s="441">
        <f>Control!N123</f>
        <v>21</v>
      </c>
    </row>
    <row r="43" spans="2:17" outlineLevel="1" x14ac:dyDescent="0.2">
      <c r="B43" s="93"/>
      <c r="C43" s="93"/>
      <c r="D43" s="93"/>
      <c r="E43" s="440" t="s">
        <v>280</v>
      </c>
      <c r="F43" s="440"/>
      <c r="G43" s="454"/>
      <c r="H43" s="454"/>
      <c r="I43" s="454"/>
      <c r="J43" s="446">
        <f>J41/J42</f>
        <v>25.828139430407376</v>
      </c>
      <c r="K43" s="456">
        <f>J43</f>
        <v>25.828139430407376</v>
      </c>
      <c r="L43" s="459">
        <f>J43+K43</f>
        <v>51.656278860814751</v>
      </c>
      <c r="M43" s="441">
        <f>Control!J124</f>
        <v>52.689404438031048</v>
      </c>
      <c r="N43" s="441">
        <f>Control!K124</f>
        <v>53.743192526791667</v>
      </c>
      <c r="O43" s="441">
        <f>Control!L124</f>
        <v>54.818056377327501</v>
      </c>
      <c r="P43" s="441">
        <f>Control!M124</f>
        <v>55.914417504874052</v>
      </c>
      <c r="Q43" s="441">
        <f>Control!N124</f>
        <v>57.032705854971532</v>
      </c>
    </row>
    <row r="44" spans="2:17" x14ac:dyDescent="0.2">
      <c r="B44" s="94"/>
      <c r="C44" s="94" t="s">
        <v>287</v>
      </c>
      <c r="D44" s="411"/>
      <c r="E44" s="93"/>
      <c r="F44" s="93"/>
      <c r="G44" s="455"/>
      <c r="H44" s="455"/>
      <c r="I44" s="455"/>
      <c r="J44" s="205">
        <f>J45+J48</f>
        <v>623.33430694275933</v>
      </c>
      <c r="K44" s="363">
        <f t="shared" ref="K44" si="82">K45+K48</f>
        <v>623.33430694275933</v>
      </c>
      <c r="L44" s="206">
        <f t="shared" ref="L44" si="83">L45+L48</f>
        <v>1246.6686138855187</v>
      </c>
      <c r="M44" s="95">
        <f>M45+M48</f>
        <v>1384.0956745527521</v>
      </c>
      <c r="N44" s="95">
        <f t="shared" ref="N44" si="84">N45+N48</f>
        <v>1641.2647123584343</v>
      </c>
      <c r="O44" s="95">
        <f t="shared" ref="O44" si="85">O45+O48</f>
        <v>1908.1668734065222</v>
      </c>
      <c r="P44" s="95">
        <f t="shared" ref="P44" si="86">P45+P48</f>
        <v>2185.0886150115903</v>
      </c>
      <c r="Q44" s="95">
        <f t="shared" ref="Q44" si="87">Q45+Q48</f>
        <v>2472.323959531499</v>
      </c>
    </row>
    <row r="45" spans="2:17" outlineLevel="1" x14ac:dyDescent="0.2">
      <c r="B45" s="94"/>
      <c r="C45" s="94"/>
      <c r="D45" s="97" t="s">
        <v>277</v>
      </c>
      <c r="E45" s="97"/>
      <c r="F45" s="97"/>
      <c r="G45" s="454"/>
      <c r="H45" s="454"/>
      <c r="I45" s="454"/>
      <c r="J45" s="445">
        <f>VALUE(Dart_Labor!S18)/1000</f>
        <v>521.42172368795173</v>
      </c>
      <c r="K45" s="447">
        <f>K46*K47</f>
        <v>521.42172368795173</v>
      </c>
      <c r="L45" s="460">
        <f>L46*L47</f>
        <v>1042.8434473759035</v>
      </c>
      <c r="M45" s="426">
        <f t="shared" ref="M45" si="88">M46*M47</f>
        <v>1134.613670744983</v>
      </c>
      <c r="N45" s="426">
        <f t="shared" ref="N45" si="89">N46*N47</f>
        <v>1301.9691871798682</v>
      </c>
      <c r="O45" s="426">
        <f t="shared" ref="O45" si="90">O46*O47</f>
        <v>1475.5650788038506</v>
      </c>
      <c r="P45" s="426">
        <f t="shared" ref="P45" si="91">P46*P47</f>
        <v>1655.5840184179203</v>
      </c>
      <c r="Q45" s="426">
        <f t="shared" ref="Q45" si="92">Q46*Q47</f>
        <v>1842.2134895850315</v>
      </c>
    </row>
    <row r="46" spans="2:17" outlineLevel="1" x14ac:dyDescent="0.2">
      <c r="B46" s="94"/>
      <c r="C46" s="94"/>
      <c r="D46" s="93"/>
      <c r="E46" s="440" t="s">
        <v>278</v>
      </c>
      <c r="F46" s="440"/>
      <c r="G46" s="454"/>
      <c r="H46" s="454"/>
      <c r="I46" s="454"/>
      <c r="J46" s="446">
        <f>VALUE(Dart_Labor!H18)</f>
        <v>15</v>
      </c>
      <c r="K46" s="456">
        <f>J46</f>
        <v>15</v>
      </c>
      <c r="L46" s="459">
        <f>K46</f>
        <v>15</v>
      </c>
      <c r="M46" s="441">
        <f>Control!J126</f>
        <v>16</v>
      </c>
      <c r="N46" s="441">
        <f>Control!K126</f>
        <v>18</v>
      </c>
      <c r="O46" s="441">
        <f>Control!L126</f>
        <v>20</v>
      </c>
      <c r="P46" s="441">
        <f>Control!M126</f>
        <v>22</v>
      </c>
      <c r="Q46" s="441">
        <f>Control!N126</f>
        <v>24</v>
      </c>
    </row>
    <row r="47" spans="2:17" outlineLevel="1" x14ac:dyDescent="0.2">
      <c r="B47" s="94"/>
      <c r="C47" s="94"/>
      <c r="D47" s="93"/>
      <c r="E47" s="440" t="s">
        <v>280</v>
      </c>
      <c r="F47" s="440"/>
      <c r="G47" s="454"/>
      <c r="H47" s="454"/>
      <c r="I47" s="454"/>
      <c r="J47" s="446">
        <f>J45/J46</f>
        <v>34.761448245863448</v>
      </c>
      <c r="K47" s="456">
        <f>J47</f>
        <v>34.761448245863448</v>
      </c>
      <c r="L47" s="459">
        <f>J47+K47</f>
        <v>69.522896491726897</v>
      </c>
      <c r="M47" s="441">
        <f>Control!J127</f>
        <v>70.913354421561436</v>
      </c>
      <c r="N47" s="441">
        <f>Control!K127</f>
        <v>72.331621509992672</v>
      </c>
      <c r="O47" s="441">
        <f>Control!L127</f>
        <v>73.778253940192528</v>
      </c>
      <c r="P47" s="441">
        <f>Control!M127</f>
        <v>75.253819018996381</v>
      </c>
      <c r="Q47" s="441">
        <f>Control!N127</f>
        <v>76.758895399376314</v>
      </c>
    </row>
    <row r="48" spans="2:17" outlineLevel="1" x14ac:dyDescent="0.2">
      <c r="B48" s="94"/>
      <c r="C48" s="94"/>
      <c r="D48" s="442" t="s">
        <v>281</v>
      </c>
      <c r="E48" s="97"/>
      <c r="F48" s="97"/>
      <c r="G48" s="454"/>
      <c r="H48" s="454"/>
      <c r="I48" s="454"/>
      <c r="J48" s="445">
        <f>VALUE(Dart_Labor!S19)/1000</f>
        <v>101.91258325480763</v>
      </c>
      <c r="K48" s="447">
        <f>K49*K50</f>
        <v>101.91258325480763</v>
      </c>
      <c r="L48" s="460">
        <f>L49*L50</f>
        <v>203.82516650961526</v>
      </c>
      <c r="M48" s="426">
        <f t="shared" ref="M48" si="93">M49*M50</f>
        <v>249.4820038077691</v>
      </c>
      <c r="N48" s="426">
        <f t="shared" ref="N48" si="94">N49*N50</f>
        <v>339.29552517856598</v>
      </c>
      <c r="O48" s="426">
        <f t="shared" ref="O48" si="95">O49*O50</f>
        <v>432.60179460267159</v>
      </c>
      <c r="P48" s="426">
        <f t="shared" ref="P48" si="96">P49*P50</f>
        <v>529.50459659367004</v>
      </c>
      <c r="Q48" s="426">
        <f t="shared" ref="Q48" si="97">Q49*Q50</f>
        <v>630.11046994646745</v>
      </c>
    </row>
    <row r="49" spans="2:17" outlineLevel="1" x14ac:dyDescent="0.2">
      <c r="B49" s="94"/>
      <c r="C49" s="94"/>
      <c r="D49" s="93"/>
      <c r="E49" s="440" t="s">
        <v>278</v>
      </c>
      <c r="F49" s="440"/>
      <c r="G49" s="454"/>
      <c r="H49" s="454"/>
      <c r="I49" s="454"/>
      <c r="J49" s="446">
        <f>VALUE(Dart_Labor!H19)</f>
        <v>5</v>
      </c>
      <c r="K49" s="456">
        <f>J49</f>
        <v>5</v>
      </c>
      <c r="L49" s="459">
        <f>K49</f>
        <v>5</v>
      </c>
      <c r="M49" s="441">
        <f>Control!J128</f>
        <v>6</v>
      </c>
      <c r="N49" s="441">
        <f>Control!K128</f>
        <v>8</v>
      </c>
      <c r="O49" s="441">
        <f>Control!L128</f>
        <v>10</v>
      </c>
      <c r="P49" s="441">
        <f>Control!M128</f>
        <v>12</v>
      </c>
      <c r="Q49" s="441">
        <f>Control!N128</f>
        <v>14</v>
      </c>
    </row>
    <row r="50" spans="2:17" outlineLevel="1" x14ac:dyDescent="0.2">
      <c r="B50" s="94"/>
      <c r="C50" s="94"/>
      <c r="D50" s="93"/>
      <c r="E50" s="440" t="s">
        <v>280</v>
      </c>
      <c r="F50" s="440"/>
      <c r="G50" s="454"/>
      <c r="H50" s="454"/>
      <c r="I50" s="454"/>
      <c r="J50" s="446">
        <f>J48/J49</f>
        <v>20.382516650961527</v>
      </c>
      <c r="K50" s="456">
        <f>J50</f>
        <v>20.382516650961527</v>
      </c>
      <c r="L50" s="459">
        <f>J50+K50</f>
        <v>40.765033301923054</v>
      </c>
      <c r="M50" s="441">
        <f>Control!J129</f>
        <v>41.580333967961515</v>
      </c>
      <c r="N50" s="441">
        <f>Control!K129</f>
        <v>42.411940647320748</v>
      </c>
      <c r="O50" s="441">
        <f>Control!L129</f>
        <v>43.26017946026716</v>
      </c>
      <c r="P50" s="441">
        <f>Control!M129</f>
        <v>44.125383049472504</v>
      </c>
      <c r="Q50" s="441">
        <f>Control!N129</f>
        <v>45.007890710461957</v>
      </c>
    </row>
    <row r="51" spans="2:17" x14ac:dyDescent="0.2">
      <c r="B51" s="94"/>
      <c r="C51" s="94" t="s">
        <v>288</v>
      </c>
      <c r="D51" s="411"/>
      <c r="E51" s="93"/>
      <c r="F51" s="93"/>
      <c r="G51" s="455"/>
      <c r="H51" s="455"/>
      <c r="I51" s="455"/>
      <c r="J51" s="205">
        <f>J52+J55</f>
        <v>2380.9354698093748</v>
      </c>
      <c r="K51" s="363">
        <f t="shared" ref="K51" si="98">K52+K55</f>
        <v>2380.9354698093753</v>
      </c>
      <c r="L51" s="206">
        <f t="shared" ref="L51" si="99">L52+L55</f>
        <v>4761.8709396187505</v>
      </c>
      <c r="M51" s="95">
        <f>M52+M55</f>
        <v>4988.2765128188048</v>
      </c>
      <c r="N51" s="95">
        <f t="shared" ref="N51" si="100">N52+N55</f>
        <v>5355.625078066847</v>
      </c>
      <c r="O51" s="95">
        <f t="shared" ref="O51" si="101">O52+O55</f>
        <v>5735.6722753196827</v>
      </c>
      <c r="P51" s="95">
        <f t="shared" ref="P51" si="102">P52+P55</f>
        <v>6128.7791104314065</v>
      </c>
      <c r="Q51" s="95">
        <f t="shared" ref="Q51" si="103">Q52+Q55</f>
        <v>6535.3159500374713</v>
      </c>
    </row>
    <row r="52" spans="2:17" outlineLevel="1" x14ac:dyDescent="0.2">
      <c r="B52" s="94"/>
      <c r="C52" s="94"/>
      <c r="D52" s="97" t="s">
        <v>277</v>
      </c>
      <c r="E52" s="97"/>
      <c r="F52" s="97"/>
      <c r="G52" s="454"/>
      <c r="H52" s="454"/>
      <c r="I52" s="454"/>
      <c r="J52" s="445">
        <f>VALUE(Dart_Labor!S20)/1000</f>
        <v>1850.1270832085738</v>
      </c>
      <c r="K52" s="447">
        <f>K53*K54</f>
        <v>1850.127083208574</v>
      </c>
      <c r="L52" s="460">
        <f>L53*L54</f>
        <v>3700.2541664171481</v>
      </c>
      <c r="M52" s="426">
        <f t="shared" ref="M52" si="104">M53*M54</f>
        <v>3851.2849487198887</v>
      </c>
      <c r="N52" s="426">
        <f t="shared" ref="N52" si="105">N53*N54</f>
        <v>4085.4430736020577</v>
      </c>
      <c r="O52" s="426">
        <f t="shared" ref="O52" si="106">O53*O54</f>
        <v>4327.4270095000256</v>
      </c>
      <c r="P52" s="426">
        <f t="shared" ref="P52" si="107">P53*P54</f>
        <v>4577.4561256044717</v>
      </c>
      <c r="Q52" s="426">
        <f t="shared" ref="Q52" si="108">Q53*Q54</f>
        <v>4835.7554355492957</v>
      </c>
    </row>
    <row r="53" spans="2:17" outlineLevel="1" x14ac:dyDescent="0.2">
      <c r="B53" s="93"/>
      <c r="C53" s="93"/>
      <c r="D53" s="93"/>
      <c r="E53" s="440" t="s">
        <v>278</v>
      </c>
      <c r="F53" s="440"/>
      <c r="G53" s="454"/>
      <c r="H53" s="454"/>
      <c r="I53" s="454"/>
      <c r="J53" s="446">
        <f>VALUE(Dart_Labor!H20)</f>
        <v>49</v>
      </c>
      <c r="K53" s="456">
        <f>J53</f>
        <v>49</v>
      </c>
      <c r="L53" s="459">
        <f>K53</f>
        <v>49</v>
      </c>
      <c r="M53" s="441">
        <f>Control!J131</f>
        <v>50</v>
      </c>
      <c r="N53" s="441">
        <f>Control!K131</f>
        <v>52</v>
      </c>
      <c r="O53" s="441">
        <f>Control!L131</f>
        <v>54</v>
      </c>
      <c r="P53" s="441">
        <f>Control!M131</f>
        <v>56</v>
      </c>
      <c r="Q53" s="441">
        <f>Control!N131</f>
        <v>58</v>
      </c>
    </row>
    <row r="54" spans="2:17" outlineLevel="1" x14ac:dyDescent="0.2">
      <c r="B54" s="94"/>
      <c r="C54" s="94"/>
      <c r="D54" s="93"/>
      <c r="E54" s="440" t="s">
        <v>280</v>
      </c>
      <c r="F54" s="440"/>
      <c r="G54" s="454"/>
      <c r="H54" s="454"/>
      <c r="I54" s="454"/>
      <c r="J54" s="446">
        <f>J52/J53</f>
        <v>37.757695575685183</v>
      </c>
      <c r="K54" s="456">
        <f>J54</f>
        <v>37.757695575685183</v>
      </c>
      <c r="L54" s="459">
        <f>J54+K54</f>
        <v>75.515391151370366</v>
      </c>
      <c r="M54" s="441">
        <f>Control!J132</f>
        <v>77.02569897439777</v>
      </c>
      <c r="N54" s="441">
        <f>Control!K132</f>
        <v>78.566212953885724</v>
      </c>
      <c r="O54" s="441">
        <f>Control!L132</f>
        <v>80.137537212963437</v>
      </c>
      <c r="P54" s="441">
        <f>Control!M132</f>
        <v>81.740287957222705</v>
      </c>
      <c r="Q54" s="441">
        <f>Control!N132</f>
        <v>83.375093716367161</v>
      </c>
    </row>
    <row r="55" spans="2:17" outlineLevel="1" x14ac:dyDescent="0.2">
      <c r="B55" s="93"/>
      <c r="C55" s="93"/>
      <c r="D55" s="442" t="s">
        <v>281</v>
      </c>
      <c r="E55" s="97"/>
      <c r="F55" s="97"/>
      <c r="G55" s="454"/>
      <c r="H55" s="454"/>
      <c r="I55" s="454"/>
      <c r="J55" s="445">
        <f>VALUE(Dart_Labor!S21)/1000</f>
        <v>530.80838660080121</v>
      </c>
      <c r="K55" s="447">
        <f>K56*K57</f>
        <v>530.80838660080121</v>
      </c>
      <c r="L55" s="460">
        <f>L56*L57</f>
        <v>1061.6167732016024</v>
      </c>
      <c r="M55" s="426">
        <f t="shared" ref="M55" si="109">M56*M57</f>
        <v>1136.9915640989161</v>
      </c>
      <c r="N55" s="426">
        <f t="shared" ref="N55" si="110">N56*N57</f>
        <v>1270.1820044647893</v>
      </c>
      <c r="O55" s="426">
        <f t="shared" ref="O55" si="111">O56*O57</f>
        <v>1408.2452658196576</v>
      </c>
      <c r="P55" s="426">
        <f t="shared" ref="P55" si="112">P56*P57</f>
        <v>1551.3229848269348</v>
      </c>
      <c r="Q55" s="426">
        <f t="shared" ref="Q55" si="113">Q56*Q57</f>
        <v>1699.5605144881754</v>
      </c>
    </row>
    <row r="56" spans="2:17" outlineLevel="1" x14ac:dyDescent="0.2">
      <c r="B56" s="411"/>
      <c r="C56" s="411"/>
      <c r="D56" s="93"/>
      <c r="E56" s="440" t="s">
        <v>278</v>
      </c>
      <c r="F56" s="440"/>
      <c r="G56" s="454"/>
      <c r="H56" s="454"/>
      <c r="I56" s="454"/>
      <c r="J56" s="446">
        <f>VALUE(Dart_Labor!H21)</f>
        <v>20</v>
      </c>
      <c r="K56" s="456">
        <f>J56</f>
        <v>20</v>
      </c>
      <c r="L56" s="459">
        <f>K56</f>
        <v>20</v>
      </c>
      <c r="M56" s="441">
        <f>Control!J133</f>
        <v>21</v>
      </c>
      <c r="N56" s="441">
        <f>Control!K133</f>
        <v>23</v>
      </c>
      <c r="O56" s="441">
        <f>Control!L133</f>
        <v>25</v>
      </c>
      <c r="P56" s="441">
        <f>Control!M133</f>
        <v>27</v>
      </c>
      <c r="Q56" s="441">
        <f>Control!N133</f>
        <v>29</v>
      </c>
    </row>
    <row r="57" spans="2:17" outlineLevel="1" x14ac:dyDescent="0.2">
      <c r="B57" s="93"/>
      <c r="C57" s="93"/>
      <c r="D57" s="93"/>
      <c r="E57" s="440" t="s">
        <v>280</v>
      </c>
      <c r="F57" s="440"/>
      <c r="G57" s="454"/>
      <c r="H57" s="454"/>
      <c r="I57" s="454"/>
      <c r="J57" s="446">
        <f>J55/J56</f>
        <v>26.540419330040059</v>
      </c>
      <c r="K57" s="456">
        <f>J57</f>
        <v>26.540419330040059</v>
      </c>
      <c r="L57" s="459">
        <f>J57+K57</f>
        <v>53.080838660080119</v>
      </c>
      <c r="M57" s="441">
        <f>Control!J134</f>
        <v>54.142455433281725</v>
      </c>
      <c r="N57" s="441">
        <f>Control!K134</f>
        <v>55.225304541947359</v>
      </c>
      <c r="O57" s="441">
        <f>Control!L134</f>
        <v>56.329810632786305</v>
      </c>
      <c r="P57" s="441">
        <f>Control!M134</f>
        <v>57.456406845442032</v>
      </c>
      <c r="Q57" s="441">
        <f>Control!N134</f>
        <v>58.605534982350875</v>
      </c>
    </row>
    <row r="58" spans="2:17" x14ac:dyDescent="0.2">
      <c r="B58" s="410" t="s">
        <v>233</v>
      </c>
      <c r="C58" s="410"/>
      <c r="D58" s="410"/>
      <c r="E58" s="410"/>
      <c r="F58" s="410"/>
      <c r="G58" s="427">
        <f>Dart_Cost!C34/1000</f>
        <v>2136.7049999999999</v>
      </c>
      <c r="H58" s="427">
        <f>Dart_Cost!D34/1000</f>
        <v>3125.462</v>
      </c>
      <c r="I58" s="427">
        <f>Dart_Cost!E34/1000</f>
        <v>4481.8630000000003</v>
      </c>
      <c r="J58" s="444">
        <f>Dart_Cost!F34/1000</f>
        <v>2195.3409999999999</v>
      </c>
      <c r="K58" s="457">
        <f>J58</f>
        <v>2195.3409999999999</v>
      </c>
      <c r="L58" s="479">
        <f>J58+K58</f>
        <v>4390.6819999999998</v>
      </c>
      <c r="M58" s="469">
        <f>M9*Control!J$136</f>
        <v>4967.0346977131958</v>
      </c>
      <c r="N58" s="469">
        <f>N9*Control!K$136</f>
        <v>5904.754232465747</v>
      </c>
      <c r="O58" s="469">
        <f>O9*Control!L$136</f>
        <v>7033.651921889571</v>
      </c>
      <c r="P58" s="469">
        <f>P9*Control!M$136</f>
        <v>8387.5465579327483</v>
      </c>
      <c r="Q58" s="469">
        <f>Q9*Control!N$136</f>
        <v>10008.921294219273</v>
      </c>
    </row>
    <row r="59" spans="2:17" x14ac:dyDescent="0.2">
      <c r="B59" s="410"/>
      <c r="C59" s="474" t="s">
        <v>289</v>
      </c>
      <c r="D59" s="410"/>
      <c r="E59" s="410"/>
      <c r="F59" s="410"/>
      <c r="G59" s="475">
        <f>G58/G$9</f>
        <v>8.2631270179683039E-2</v>
      </c>
      <c r="H59" s="477">
        <f t="shared" ref="H59:L59" si="114">H58/H$9</f>
        <v>7.6384874863043836E-2</v>
      </c>
      <c r="I59" s="477">
        <f t="shared" si="114"/>
        <v>0.10013544168151002</v>
      </c>
      <c r="J59" s="476">
        <f t="shared" si="114"/>
        <v>7.9145258706032173E-2</v>
      </c>
      <c r="K59" s="478">
        <f t="shared" si="114"/>
        <v>7.9145258706032173E-2</v>
      </c>
      <c r="L59" s="204">
        <f t="shared" si="114"/>
        <v>7.9145258706032173E-2</v>
      </c>
      <c r="M59" s="115">
        <f t="shared" ref="M59" si="115">M58/M$9</f>
        <v>8.4574211357567264E-2</v>
      </c>
      <c r="N59" s="115">
        <f t="shared" ref="N59" si="116">N58/N$9</f>
        <v>8.4574211357567264E-2</v>
      </c>
      <c r="O59" s="115">
        <f t="shared" ref="O59" si="117">O58/O$9</f>
        <v>8.4574211357567264E-2</v>
      </c>
      <c r="P59" s="115">
        <f t="shared" ref="P59" si="118">P58/P$9</f>
        <v>8.457421135756725E-2</v>
      </c>
      <c r="Q59" s="115">
        <f t="shared" ref="Q59" si="119">Q58/Q$9</f>
        <v>8.4574211357567264E-2</v>
      </c>
    </row>
    <row r="60" spans="2:17" x14ac:dyDescent="0.2">
      <c r="B60" s="410" t="s">
        <v>290</v>
      </c>
      <c r="C60" s="410"/>
      <c r="D60" s="410"/>
      <c r="E60" s="410"/>
      <c r="F60" s="410"/>
      <c r="G60" s="427">
        <f>Dart_Cost!C9/10^3</f>
        <v>2999.7080000000001</v>
      </c>
      <c r="H60" s="427">
        <f>Dart_Cost!D9/10^3</f>
        <v>4883.8059999999996</v>
      </c>
      <c r="I60" s="427">
        <f>Dart_Cost!E9/10^3</f>
        <v>4791.5420000000004</v>
      </c>
      <c r="J60" s="444">
        <f>Dart_Cost!F9/10^3</f>
        <v>3111.239</v>
      </c>
      <c r="K60" s="457">
        <f>J60</f>
        <v>3111.239</v>
      </c>
      <c r="L60" s="479">
        <f>J60+K60</f>
        <v>6222.4780000000001</v>
      </c>
      <c r="M60" s="469">
        <f>M11*Control!J$137</f>
        <v>4904.2994149937285</v>
      </c>
      <c r="N60" s="469">
        <f>N11*Control!K$137</f>
        <v>5462.3639999967791</v>
      </c>
      <c r="O60" s="469">
        <f>O11*Control!L$137</f>
        <v>6371.4430517603141</v>
      </c>
      <c r="P60" s="469">
        <f>P11*Control!M$137</f>
        <v>7735.0778899139596</v>
      </c>
      <c r="Q60" s="469">
        <f>Q11*Control!N$137</f>
        <v>8702.0034805902469</v>
      </c>
    </row>
    <row r="61" spans="2:17" x14ac:dyDescent="0.2">
      <c r="B61" s="410"/>
      <c r="C61" s="474" t="s">
        <v>289</v>
      </c>
      <c r="D61" s="410"/>
      <c r="E61" s="410"/>
      <c r="F61" s="410"/>
      <c r="G61" s="475">
        <f>G60/G$9</f>
        <v>0.11600557035629938</v>
      </c>
      <c r="H61" s="477">
        <f t="shared" ref="H61" si="120">H60/H$9</f>
        <v>0.11935800536540923</v>
      </c>
      <c r="I61" s="477">
        <f t="shared" ref="I61" si="121">I60/I$9</f>
        <v>0.10705440449775147</v>
      </c>
      <c r="J61" s="476">
        <f t="shared" ref="J61" si="122">J60/J$9</f>
        <v>0.11216472318026988</v>
      </c>
      <c r="K61" s="478">
        <f t="shared" ref="K61" si="123">K60/K$9</f>
        <v>0.11216472318026988</v>
      </c>
      <c r="L61" s="204">
        <f t="shared" ref="L61" si="124">L60/L$9</f>
        <v>0.11216472318026988</v>
      </c>
      <c r="M61" s="115">
        <f t="shared" ref="M61" si="125">M60/M$9</f>
        <v>8.3506011237536745E-2</v>
      </c>
      <c r="N61" s="115">
        <f t="shared" ref="N61" si="126">N60/N$9</f>
        <v>7.8237824854359692E-2</v>
      </c>
      <c r="O61" s="115">
        <f t="shared" ref="O61" si="127">O60/O$9</f>
        <v>7.6611663087177193E-2</v>
      </c>
      <c r="P61" s="115">
        <f t="shared" ref="P61" si="128">P60/P$9</f>
        <v>7.7995169124887007E-2</v>
      </c>
      <c r="Q61" s="115">
        <f t="shared" ref="Q61" si="129">Q60/Q$9</f>
        <v>7.3530909072767672E-2</v>
      </c>
    </row>
    <row r="62" spans="2:17" x14ac:dyDescent="0.2">
      <c r="B62" s="123" t="s">
        <v>263</v>
      </c>
      <c r="C62" s="123"/>
      <c r="D62" s="123"/>
      <c r="E62" s="123"/>
      <c r="F62" s="123"/>
      <c r="G62" s="124">
        <f>G9+G58+G60</f>
        <v>30994.722999999998</v>
      </c>
      <c r="H62" s="124">
        <f t="shared" ref="H62:Q62" si="130">H9+H58+H60</f>
        <v>48926.556999999993</v>
      </c>
      <c r="I62" s="124">
        <f t="shared" si="130"/>
        <v>54031.413999999997</v>
      </c>
      <c r="J62" s="217">
        <f t="shared" si="130"/>
        <v>33044.703999999998</v>
      </c>
      <c r="K62" s="372">
        <f t="shared" si="130"/>
        <v>33044.703999999998</v>
      </c>
      <c r="L62" s="218">
        <f t="shared" si="130"/>
        <v>66089.407999999996</v>
      </c>
      <c r="M62" s="124">
        <f t="shared" si="130"/>
        <v>68601.230826887419</v>
      </c>
      <c r="N62" s="124">
        <f t="shared" si="130"/>
        <v>81184.550020283976</v>
      </c>
      <c r="O62" s="124">
        <f t="shared" si="130"/>
        <v>96570.53995962003</v>
      </c>
      <c r="P62" s="124">
        <f t="shared" si="130"/>
        <v>115296.43196313575</v>
      </c>
      <c r="Q62" s="124">
        <f t="shared" si="130"/>
        <v>137055.76220880027</v>
      </c>
    </row>
    <row r="63" spans="2:17" x14ac:dyDescent="0.2">
      <c r="F63" t="s">
        <v>264</v>
      </c>
      <c r="G63" t="b">
        <f>G62=(Dart_Cost!C8+Dart_Cost!C9)/1000</f>
        <v>1</v>
      </c>
      <c r="H63" t="b">
        <f>H62=(Dart_Cost!D8+Dart_Cost!D9)/1000</f>
        <v>1</v>
      </c>
      <c r="I63" t="b">
        <f>I62=(Dart_Cost!E8+Dart_Cost!E9)/1000</f>
        <v>1</v>
      </c>
      <c r="J63" s="448" t="b">
        <f>J62=(Dart_Cost!F8+Dart_Cost!F9)/1000</f>
        <v>1</v>
      </c>
    </row>
    <row r="64" spans="2:17" x14ac:dyDescent="0.2">
      <c r="J64" s="449"/>
    </row>
    <row r="65" spans="7:17" x14ac:dyDescent="0.2">
      <c r="G65" s="480"/>
      <c r="H65" s="480"/>
      <c r="I65" s="480"/>
      <c r="J65" s="480"/>
      <c r="K65" s="480"/>
      <c r="L65" s="480"/>
      <c r="M65" s="480"/>
      <c r="N65" s="480"/>
      <c r="O65" s="480"/>
      <c r="P65" s="480"/>
      <c r="Q65" s="480"/>
    </row>
    <row r="66" spans="7:17" x14ac:dyDescent="0.2">
      <c r="J66" s="448"/>
    </row>
    <row r="67" spans="7:17" x14ac:dyDescent="0.2">
      <c r="J67" s="448"/>
    </row>
    <row r="68" spans="7:17" x14ac:dyDescent="0.2">
      <c r="J68" s="450"/>
    </row>
    <row r="69" spans="7:17" x14ac:dyDescent="0.2">
      <c r="J69" s="448"/>
    </row>
    <row r="70" spans="7:17" x14ac:dyDescent="0.2">
      <c r="J70" s="448"/>
    </row>
  </sheetData>
  <phoneticPr fontId="2" type="noConversion"/>
  <hyperlinks>
    <hyperlink ref="G1" location="Index!A1" display="Index!A1" xr:uid="{939BEC3A-85E9-4ECF-ADFC-752305492E16}"/>
  </hyperlink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53FB7-0FF4-44CC-A037-A5C0D194AA86}">
  <dimension ref="B1:O25"/>
  <sheetViews>
    <sheetView showGridLines="0" topLeftCell="E1" zoomScaleNormal="100" workbookViewId="0">
      <selection activeCell="Q11" sqref="Q11:V15"/>
    </sheetView>
  </sheetViews>
  <sheetFormatPr defaultColWidth="9.28515625" defaultRowHeight="12" outlineLevelRow="1" x14ac:dyDescent="0.2"/>
  <cols>
    <col min="1" max="3" width="1.85546875" style="245" customWidth="1"/>
    <col min="4" max="4" width="18.85546875" style="245" customWidth="1"/>
    <col min="5" max="15" width="11.28515625" style="245" bestFit="1" customWidth="1"/>
    <col min="16" max="16384" width="9.28515625" style="245"/>
  </cols>
  <sheetData>
    <row r="1" spans="2:15" ht="15" x14ac:dyDescent="0.2">
      <c r="B1" s="25" t="s">
        <v>13</v>
      </c>
      <c r="E1" s="614" t="s">
        <v>0</v>
      </c>
    </row>
    <row r="4" spans="2:15" ht="12.75" thickBot="1" x14ac:dyDescent="0.25">
      <c r="E4" s="242" t="s">
        <v>26</v>
      </c>
      <c r="F4" s="242"/>
      <c r="G4" s="242"/>
      <c r="H4" s="242"/>
      <c r="I4" s="243"/>
      <c r="J4" s="243" t="s">
        <v>265</v>
      </c>
      <c r="K4" s="241"/>
      <c r="L4" s="241"/>
      <c r="M4" s="241"/>
      <c r="N4" s="241"/>
      <c r="O4" s="241"/>
    </row>
    <row r="5" spans="2:15" x14ac:dyDescent="0.2">
      <c r="B5" s="558" t="s">
        <v>291</v>
      </c>
      <c r="C5" s="558"/>
      <c r="D5" s="558"/>
      <c r="E5" s="391">
        <v>2018</v>
      </c>
      <c r="F5" s="391">
        <v>2019</v>
      </c>
      <c r="G5" s="391">
        <v>2020</v>
      </c>
      <c r="H5" s="559" t="s">
        <v>30</v>
      </c>
      <c r="I5" s="596" t="s">
        <v>31</v>
      </c>
      <c r="J5" s="560">
        <v>2021</v>
      </c>
      <c r="K5" s="394">
        <v>2022</v>
      </c>
      <c r="L5" s="394">
        <v>2023</v>
      </c>
      <c r="M5" s="394">
        <v>2024</v>
      </c>
      <c r="N5" s="394">
        <v>2025</v>
      </c>
      <c r="O5" s="394">
        <v>2016</v>
      </c>
    </row>
    <row r="6" spans="2:15" x14ac:dyDescent="0.2">
      <c r="B6" s="257" t="s">
        <v>7</v>
      </c>
      <c r="C6" s="257"/>
      <c r="D6" s="257"/>
      <c r="E6" s="344">
        <f>Sales!I160</f>
        <v>742803</v>
      </c>
      <c r="F6" s="344">
        <f>Sales!J160</f>
        <v>1185356</v>
      </c>
      <c r="G6" s="344">
        <f>Sales!K160</f>
        <v>1323114</v>
      </c>
      <c r="H6" s="561">
        <f>Sales!L160</f>
        <v>910585</v>
      </c>
      <c r="I6" s="597">
        <f>Sales!M160</f>
        <v>910585</v>
      </c>
      <c r="J6" s="562">
        <f>Sales!N160</f>
        <v>1821170</v>
      </c>
      <c r="K6" s="344">
        <f>Sales!O160</f>
        <v>1902459.0171767864</v>
      </c>
      <c r="L6" s="344">
        <f>Sales!P160</f>
        <v>2256380.0214478867</v>
      </c>
      <c r="M6" s="344">
        <f>Sales!Q160</f>
        <v>2679613.4966645511</v>
      </c>
      <c r="N6" s="344">
        <f>Sales!R160</f>
        <v>3186171.832301327</v>
      </c>
      <c r="O6" s="344">
        <f>Sales!S160</f>
        <v>3792952.9446530836</v>
      </c>
    </row>
    <row r="7" spans="2:15" x14ac:dyDescent="0.2">
      <c r="B7" s="595" t="s">
        <v>240</v>
      </c>
      <c r="C7" s="591"/>
      <c r="D7" s="591"/>
      <c r="E7" s="592">
        <f>Cost!E19</f>
        <v>688489.80899999989</v>
      </c>
      <c r="F7" s="592">
        <f>Cost!F19</f>
        <v>1088832.5089999998</v>
      </c>
      <c r="G7" s="592">
        <f>Cost!G19</f>
        <v>1210703.0819999997</v>
      </c>
      <c r="H7" s="593">
        <f>Cost!H19</f>
        <v>812768.7429999999</v>
      </c>
      <c r="I7" s="598">
        <f>Cost!I19</f>
        <v>812768.7429999999</v>
      </c>
      <c r="J7" s="594">
        <f>Cost!J19</f>
        <v>1625537.4859999998</v>
      </c>
      <c r="K7" s="592">
        <f>Cost!K19</f>
        <v>1670801.6888441721</v>
      </c>
      <c r="L7" s="592">
        <f>Cost!L19</f>
        <v>1985483.8553487763</v>
      </c>
      <c r="M7" s="592">
        <f>Cost!M19</f>
        <v>2362471.400749526</v>
      </c>
      <c r="N7" s="592">
        <f>Cost!N19</f>
        <v>2814479.8236162029</v>
      </c>
      <c r="O7" s="592">
        <f>Cost!O19</f>
        <v>3356864.7400698513</v>
      </c>
    </row>
    <row r="8" spans="2:15" ht="12.75" thickBot="1" x14ac:dyDescent="0.25">
      <c r="B8" s="582" t="s">
        <v>242</v>
      </c>
      <c r="C8" s="583"/>
      <c r="D8" s="583"/>
      <c r="E8" s="584">
        <f>Cost!E21</f>
        <v>663748.17000000004</v>
      </c>
      <c r="F8" s="584">
        <f>Cost!F21</f>
        <v>1053521.665</v>
      </c>
      <c r="G8" s="584">
        <f>Cost!G21</f>
        <v>1170061.558</v>
      </c>
      <c r="H8" s="585">
        <f>Cost!H21</f>
        <v>784113.35400000005</v>
      </c>
      <c r="I8" s="599">
        <f>Cost!I21</f>
        <v>784113.35400000005</v>
      </c>
      <c r="J8" s="586">
        <f>Cost!J21</f>
        <v>1568226.7080000001</v>
      </c>
      <c r="K8" s="584">
        <f>Cost!K21</f>
        <v>1604124.0844296373</v>
      </c>
      <c r="L8" s="584">
        <f>Cost!L21</f>
        <v>1906290.5565145817</v>
      </c>
      <c r="M8" s="584">
        <f>Cost!M21</f>
        <v>2268308.5511281644</v>
      </c>
      <c r="N8" s="584">
        <f>Cost!N21</f>
        <v>2702399.5286260345</v>
      </c>
      <c r="O8" s="584">
        <f>Cost!O21</f>
        <v>3223324.055030568</v>
      </c>
    </row>
    <row r="9" spans="2:15" x14ac:dyDescent="0.2">
      <c r="B9" s="247" t="s">
        <v>292</v>
      </c>
      <c r="C9" s="247"/>
      <c r="D9" s="247"/>
      <c r="E9" s="579">
        <f>E10+E12+E14</f>
        <v>135219.48502600001</v>
      </c>
      <c r="F9" s="579">
        <f t="shared" ref="F9:O9" si="0">F10+F12+F14</f>
        <v>157121.874144</v>
      </c>
      <c r="G9" s="579">
        <f t="shared" si="0"/>
        <v>168447.59896499998</v>
      </c>
      <c r="H9" s="580">
        <f t="shared" si="0"/>
        <v>178547.76482200003</v>
      </c>
      <c r="I9" s="600">
        <f t="shared" si="0"/>
        <v>178547.76482200003</v>
      </c>
      <c r="J9" s="581">
        <f t="shared" si="0"/>
        <v>178547.76482200003</v>
      </c>
      <c r="K9" s="579">
        <f t="shared" si="0"/>
        <v>246242.93458977898</v>
      </c>
      <c r="L9" s="579">
        <f t="shared" si="0"/>
        <v>272616.84649733431</v>
      </c>
      <c r="M9" s="579">
        <f t="shared" si="0"/>
        <v>324163.43125871342</v>
      </c>
      <c r="N9" s="579">
        <f t="shared" si="0"/>
        <v>385942.55184934457</v>
      </c>
      <c r="O9" s="579">
        <f t="shared" si="0"/>
        <v>460045.96482609183</v>
      </c>
    </row>
    <row r="10" spans="2:15" outlineLevel="1" x14ac:dyDescent="0.2">
      <c r="B10" s="256"/>
      <c r="C10" s="256" t="s">
        <v>293</v>
      </c>
      <c r="D10" s="256"/>
      <c r="E10" s="346">
        <f>BS!E7</f>
        <v>7325.6302779999996</v>
      </c>
      <c r="F10" s="346">
        <f>BS!F7</f>
        <v>4038.9554760000001</v>
      </c>
      <c r="G10" s="346">
        <f>BS!G7</f>
        <v>4665.2039089999998</v>
      </c>
      <c r="H10" s="565">
        <f>BS!H7</f>
        <v>7961.0649210000001</v>
      </c>
      <c r="I10" s="601">
        <f>H10</f>
        <v>7961.0649210000001</v>
      </c>
      <c r="J10" s="566">
        <f>I10</f>
        <v>7961.0649210000001</v>
      </c>
      <c r="K10" s="260">
        <f>AVERAGE(J$6:K$6)*Control!J141</f>
        <v>8051.0052792283668</v>
      </c>
      <c r="L10" s="260">
        <f>AVERAGE(K$6:L$6)*Control!K141</f>
        <v>8991.9900454569397</v>
      </c>
      <c r="M10" s="260">
        <f>AVERAGE(L$6:M$6)*Control!L141</f>
        <v>10672.306421838564</v>
      </c>
      <c r="N10" s="260">
        <f>AVERAGE(M$6:N$6)*Control!M141</f>
        <v>12682.645997352982</v>
      </c>
      <c r="O10" s="260">
        <f>AVERAGE(N$6:O$6)*Control!N141</f>
        <v>15089.84116421332</v>
      </c>
    </row>
    <row r="11" spans="2:15" outlineLevel="1" x14ac:dyDescent="0.2">
      <c r="B11" s="256"/>
      <c r="C11" s="256"/>
      <c r="D11" s="257" t="s">
        <v>231</v>
      </c>
      <c r="E11" s="346"/>
      <c r="F11" s="258">
        <f>F10/AVERAGE(E$6:F$6)</f>
        <v>4.1894423395580967E-3</v>
      </c>
      <c r="G11" s="258">
        <f>G10/AVERAGE(F$6:G$6)</f>
        <v>3.7195612536725571E-3</v>
      </c>
      <c r="H11" s="567">
        <f>H10/AVERAGE(G$6,H$6*2)</f>
        <v>5.0638332421626036E-3</v>
      </c>
      <c r="I11" s="602">
        <f>I10/AVERAGE(G$6,I$6*2)</f>
        <v>5.0638332421626036E-3</v>
      </c>
      <c r="J11" s="568">
        <f>J10/AVERAGE(G$6,J$6)</f>
        <v>5.0638332421626036E-3</v>
      </c>
      <c r="K11" s="347">
        <f>K10/AVERAGE(J$6:K$6)</f>
        <v>4.3242789451310853E-3</v>
      </c>
      <c r="L11" s="347">
        <f t="shared" ref="L11:O11" si="1">L10/AVERAGE(K$6:L$6)</f>
        <v>4.3242789451310853E-3</v>
      </c>
      <c r="M11" s="347">
        <f t="shared" si="1"/>
        <v>4.3242789451310853E-3</v>
      </c>
      <c r="N11" s="347">
        <f t="shared" si="1"/>
        <v>4.3242789451310853E-3</v>
      </c>
      <c r="O11" s="347">
        <f t="shared" si="1"/>
        <v>4.3242789451310853E-3</v>
      </c>
    </row>
    <row r="12" spans="2:15" outlineLevel="1" x14ac:dyDescent="0.2">
      <c r="B12" s="256"/>
      <c r="C12" s="578" t="s">
        <v>294</v>
      </c>
      <c r="D12" s="256"/>
      <c r="E12" s="346">
        <f>BS!E11</f>
        <v>125377.11036200001</v>
      </c>
      <c r="F12" s="346">
        <f>BS!F11</f>
        <v>150417.731634</v>
      </c>
      <c r="G12" s="346">
        <f>BS!G11</f>
        <v>161331.90737199999</v>
      </c>
      <c r="H12" s="565">
        <f>BS!H11</f>
        <v>165762.87459200001</v>
      </c>
      <c r="I12" s="601">
        <f>H12</f>
        <v>165762.87459200001</v>
      </c>
      <c r="J12" s="566">
        <f>I12</f>
        <v>165762.87459200001</v>
      </c>
      <c r="K12" s="260">
        <f>AVERAGE(J$8:K$8)*Control!J142</f>
        <v>233359.54405959343</v>
      </c>
      <c r="L12" s="260">
        <f>AVERAGE(K$8:L$8)*Control!K142</f>
        <v>258227.67205497625</v>
      </c>
      <c r="M12" s="260">
        <f>AVERAGE(L$8:M$8)*Control!L142</f>
        <v>307085.37867749197</v>
      </c>
      <c r="N12" s="260">
        <f>AVERAGE(M$8:N$8)*Control!M142</f>
        <v>365647.51096028264</v>
      </c>
      <c r="O12" s="260">
        <f>AVERAGE(N$8:O$8)*Control!N142</f>
        <v>435898.87883937603</v>
      </c>
    </row>
    <row r="13" spans="2:15" outlineLevel="1" x14ac:dyDescent="0.2">
      <c r="B13" s="256"/>
      <c r="C13" s="256"/>
      <c r="D13" s="257" t="s">
        <v>295</v>
      </c>
      <c r="E13" s="346"/>
      <c r="F13" s="258">
        <f>F12/AVERAGE(E$8:F$8)</f>
        <v>0.17518240706068189</v>
      </c>
      <c r="G13" s="258">
        <f>G12/AVERAGE(F$8:G$8)</f>
        <v>0.14510984406001698</v>
      </c>
      <c r="H13" s="567">
        <f>H12/AVERAGE(G$8,H$8*2)</f>
        <v>0.12107043414690659</v>
      </c>
      <c r="I13" s="602">
        <f>I12/AVERAGE(G$8,I$8*2)</f>
        <v>0.12107043414690659</v>
      </c>
      <c r="J13" s="568">
        <f>J12/AVERAGE(G$8,J$8)</f>
        <v>0.12107043414690659</v>
      </c>
      <c r="K13" s="347">
        <f>K12/AVERAGE(J$8:K$8)</f>
        <v>0.14712089508920181</v>
      </c>
      <c r="L13" s="347">
        <f t="shared" ref="L13:O13" si="2">L12/AVERAGE(K$8:L$8)</f>
        <v>0.14712089508920181</v>
      </c>
      <c r="M13" s="347">
        <f t="shared" si="2"/>
        <v>0.14712089508920181</v>
      </c>
      <c r="N13" s="347">
        <f t="shared" si="2"/>
        <v>0.14712089508920181</v>
      </c>
      <c r="O13" s="347">
        <f t="shared" si="2"/>
        <v>0.14712089508920181</v>
      </c>
    </row>
    <row r="14" spans="2:15" outlineLevel="1" x14ac:dyDescent="0.2">
      <c r="B14" s="256"/>
      <c r="C14" s="256" t="s">
        <v>296</v>
      </c>
      <c r="D14" s="256"/>
      <c r="E14" s="346">
        <f>BS!E10</f>
        <v>2516.7443859999998</v>
      </c>
      <c r="F14" s="346">
        <f>BS!F10</f>
        <v>2665.187034</v>
      </c>
      <c r="G14" s="346">
        <f>BS!G10</f>
        <v>2450.4876840000002</v>
      </c>
      <c r="H14" s="565">
        <f>BS!H10</f>
        <v>4823.8253089999998</v>
      </c>
      <c r="I14" s="601">
        <f>H14</f>
        <v>4823.8253089999998</v>
      </c>
      <c r="J14" s="566">
        <f>I14</f>
        <v>4823.8253089999998</v>
      </c>
      <c r="K14" s="260">
        <f>AVERAGE(J$6:K$6)*Control!J143</f>
        <v>4832.385250957188</v>
      </c>
      <c r="L14" s="260">
        <f>AVERAGE(K$6:L$6)*Control!K143</f>
        <v>5397.1843969011306</v>
      </c>
      <c r="M14" s="260">
        <f>AVERAGE(L$6:M$6)*Control!L143</f>
        <v>6405.7461593828748</v>
      </c>
      <c r="N14" s="260">
        <f>AVERAGE(M$6:N$6)*Control!M143</f>
        <v>7612.3948917089447</v>
      </c>
      <c r="O14" s="260">
        <f>AVERAGE(N$6:O$6)*Control!N143</f>
        <v>9057.24482250246</v>
      </c>
    </row>
    <row r="15" spans="2:15" outlineLevel="1" x14ac:dyDescent="0.2">
      <c r="B15" s="256"/>
      <c r="C15" s="256"/>
      <c r="D15" s="257" t="s">
        <v>231</v>
      </c>
      <c r="E15" s="346"/>
      <c r="F15" s="258">
        <f>F14/AVERAGE(E$6:F$6)</f>
        <v>2.7644888559501578E-3</v>
      </c>
      <c r="G15" s="258">
        <f>G14/AVERAGE(F$6:G$6)</f>
        <v>1.9537707718250566E-3</v>
      </c>
      <c r="H15" s="567">
        <f>H14/AVERAGE(G$6,H$6*2)</f>
        <v>3.0683140002620629E-3</v>
      </c>
      <c r="I15" s="602">
        <f>I14/AVERAGE(G$6,I$6*2)</f>
        <v>3.0683140002620629E-3</v>
      </c>
      <c r="J15" s="568">
        <f>J14/AVERAGE(G$6,J$6)</f>
        <v>3.0683140002620629E-3</v>
      </c>
      <c r="K15" s="347">
        <f>K14/AVERAGE(J$6:K$6)</f>
        <v>2.5955245426790923E-3</v>
      </c>
      <c r="L15" s="347">
        <f t="shared" ref="L15" si="3">L14/AVERAGE(K$6:L$6)</f>
        <v>2.5955245426790923E-3</v>
      </c>
      <c r="M15" s="347">
        <f t="shared" ref="M15" si="4">M14/AVERAGE(L$6:M$6)</f>
        <v>2.5955245426790923E-3</v>
      </c>
      <c r="N15" s="347">
        <f t="shared" ref="N15" si="5">N14/AVERAGE(M$6:N$6)</f>
        <v>2.5955245426790923E-3</v>
      </c>
      <c r="O15" s="347">
        <f t="shared" ref="O15" si="6">O14/AVERAGE(N$6:O$6)</f>
        <v>2.5955245426790923E-3</v>
      </c>
    </row>
    <row r="16" spans="2:15" x14ac:dyDescent="0.2">
      <c r="B16" s="253" t="s">
        <v>297</v>
      </c>
      <c r="C16" s="253"/>
      <c r="D16" s="253"/>
      <c r="E16" s="345">
        <f>E17+E19</f>
        <v>16632.495070999998</v>
      </c>
      <c r="F16" s="345">
        <f t="shared" ref="F16:J16" si="7">F17+F19</f>
        <v>15962.705602999999</v>
      </c>
      <c r="G16" s="345">
        <f t="shared" si="7"/>
        <v>18774.701520999999</v>
      </c>
      <c r="H16" s="563">
        <f t="shared" si="7"/>
        <v>35547.617532999997</v>
      </c>
      <c r="I16" s="603">
        <f t="shared" si="7"/>
        <v>35547.617532999997</v>
      </c>
      <c r="J16" s="564">
        <f t="shared" si="7"/>
        <v>35547.617532999997</v>
      </c>
      <c r="K16" s="345">
        <f t="shared" ref="K16" si="8">K17+K19</f>
        <v>32610.950284326267</v>
      </c>
      <c r="L16" s="345">
        <f t="shared" ref="L16" si="9">L17+L19</f>
        <v>36171.92885274424</v>
      </c>
      <c r="M16" s="345">
        <f t="shared" ref="M16" si="10">M17+M19</f>
        <v>43014.673300965675</v>
      </c>
      <c r="N16" s="345">
        <f t="shared" ref="N16" si="11">N17+N19</f>
        <v>51215.997519476645</v>
      </c>
      <c r="O16" s="345">
        <f t="shared" ref="O16" si="12">O17+O19</f>
        <v>61053.611318176008</v>
      </c>
    </row>
    <row r="17" spans="2:15" x14ac:dyDescent="0.2">
      <c r="B17" s="256"/>
      <c r="C17" s="256" t="s">
        <v>298</v>
      </c>
      <c r="D17" s="256"/>
      <c r="E17" s="346">
        <f>BS!E22</f>
        <v>6251.7465979999997</v>
      </c>
      <c r="F17" s="346">
        <f>BS!F22</f>
        <v>4267.1034239999999</v>
      </c>
      <c r="G17" s="346">
        <f>BS!G22</f>
        <v>6132.8999709999998</v>
      </c>
      <c r="H17" s="565">
        <f>BS!H22</f>
        <v>8997.5111570000008</v>
      </c>
      <c r="I17" s="601">
        <f>H17</f>
        <v>8997.5111570000008</v>
      </c>
      <c r="J17" s="566">
        <f>I17</f>
        <v>8997.5111570000008</v>
      </c>
      <c r="K17" s="260">
        <f>AVERAGE(J$7:K$7)*Control!J144</f>
        <v>9054.1807579089709</v>
      </c>
      <c r="L17" s="260">
        <f>AVERAGE(K$7:L$7)*Control!K144</f>
        <v>10042.859203412369</v>
      </c>
      <c r="M17" s="260">
        <f>AVERAGE(L$7:M$7)*Control!L144</f>
        <v>11942.694828385014</v>
      </c>
      <c r="N17" s="260">
        <f>AVERAGE(M$7:N$7)*Control!M144</f>
        <v>14219.729728662192</v>
      </c>
      <c r="O17" s="260">
        <f>AVERAGE(N$7:O$7)*Control!N144</f>
        <v>16951.067907504956</v>
      </c>
    </row>
    <row r="18" spans="2:15" x14ac:dyDescent="0.2">
      <c r="B18" s="256"/>
      <c r="C18" s="256"/>
      <c r="D18" s="257" t="s">
        <v>299</v>
      </c>
      <c r="E18" s="346"/>
      <c r="F18" s="258">
        <f>F17/AVERAGE(E$7:F$7)</f>
        <v>4.8017215344504562E-3</v>
      </c>
      <c r="G18" s="258">
        <f>G17/AVERAGE(F$7:G$7)</f>
        <v>5.3340335283377669E-3</v>
      </c>
      <c r="H18" s="567">
        <f>H17/AVERAGE(G$7,H$7*2)</f>
        <v>6.3446741849156165E-3</v>
      </c>
      <c r="I18" s="602">
        <f>I17/AVERAGE(G$7,I$7*2)</f>
        <v>6.3446741849156165E-3</v>
      </c>
      <c r="J18" s="568">
        <f>J17/AVERAGE(G$7,J$7)</f>
        <v>6.3446741849156165E-3</v>
      </c>
      <c r="K18" s="347">
        <f>K17/AVERAGE(J$7:K$7)</f>
        <v>5.4934764159012793E-3</v>
      </c>
      <c r="L18" s="347">
        <f t="shared" ref="L18:O18" si="13">L17/AVERAGE(K$7:L$7)</f>
        <v>5.4934764159012793E-3</v>
      </c>
      <c r="M18" s="347">
        <f t="shared" si="13"/>
        <v>5.4934764159012793E-3</v>
      </c>
      <c r="N18" s="347">
        <f t="shared" si="13"/>
        <v>5.4934764159012793E-3</v>
      </c>
      <c r="O18" s="347">
        <f t="shared" si="13"/>
        <v>5.4934764159012793E-3</v>
      </c>
    </row>
    <row r="19" spans="2:15" x14ac:dyDescent="0.2">
      <c r="B19" s="256"/>
      <c r="C19" s="256" t="s">
        <v>300</v>
      </c>
      <c r="D19" s="256"/>
      <c r="E19" s="346">
        <f>BS!E25</f>
        <v>10380.748473</v>
      </c>
      <c r="F19" s="346">
        <f>BS!F25</f>
        <v>11695.602179</v>
      </c>
      <c r="G19" s="346">
        <f>BS!G25</f>
        <v>12641.80155</v>
      </c>
      <c r="H19" s="565">
        <f>BS!H25</f>
        <v>26550.106376</v>
      </c>
      <c r="I19" s="601">
        <f>H19</f>
        <v>26550.106376</v>
      </c>
      <c r="J19" s="566">
        <f>I19</f>
        <v>26550.106376</v>
      </c>
      <c r="K19" s="260">
        <f>AVERAGE(J$7:K$7)*Control!J145</f>
        <v>23556.769526417298</v>
      </c>
      <c r="L19" s="260">
        <f>AVERAGE(K$7:L$7)*Control!K145</f>
        <v>26129.069649331876</v>
      </c>
      <c r="M19" s="260">
        <f>AVERAGE(L$7:M$7)*Control!L145</f>
        <v>31071.978472580657</v>
      </c>
      <c r="N19" s="260">
        <f>AVERAGE(M$7:N$7)*Control!M145</f>
        <v>36996.267790814454</v>
      </c>
      <c r="O19" s="260">
        <f>AVERAGE(N$7:O$7)*Control!N145</f>
        <v>44102.543410671053</v>
      </c>
    </row>
    <row r="20" spans="2:15" x14ac:dyDescent="0.2">
      <c r="B20" s="256"/>
      <c r="C20" s="256"/>
      <c r="D20" s="257" t="s">
        <v>299</v>
      </c>
      <c r="E20" s="346"/>
      <c r="F20" s="258">
        <f>F19/AVERAGE(E$7:F$7)</f>
        <v>1.3160924229163932E-2</v>
      </c>
      <c r="G20" s="258">
        <f>G19/AVERAGE(F$7:G$7)</f>
        <v>1.0995091008356567E-2</v>
      </c>
      <c r="H20" s="567">
        <f>H19/AVERAGE(G$7,H$7*2)</f>
        <v>1.8722041194638186E-2</v>
      </c>
      <c r="I20" s="602">
        <f>I19/AVERAGE(G$7,I$7*2)</f>
        <v>1.8722041194638186E-2</v>
      </c>
      <c r="J20" s="568">
        <f>J19/AVERAGE(G$7,J$7)</f>
        <v>1.8722041194638186E-2</v>
      </c>
      <c r="K20" s="347">
        <f>K19/AVERAGE(J$7:K$7)</f>
        <v>1.4292685477386227E-2</v>
      </c>
      <c r="L20" s="347">
        <f t="shared" ref="L20" si="14">L19/AVERAGE(K$7:L$7)</f>
        <v>1.4292685477386227E-2</v>
      </c>
      <c r="M20" s="347">
        <f t="shared" ref="M20" si="15">M19/AVERAGE(L$7:M$7)</f>
        <v>1.4292685477386227E-2</v>
      </c>
      <c r="N20" s="347">
        <f t="shared" ref="N20" si="16">N19/AVERAGE(M$7:N$7)</f>
        <v>1.4292685477386229E-2</v>
      </c>
      <c r="O20" s="347">
        <f t="shared" ref="O20" si="17">O19/AVERAGE(N$7:O$7)</f>
        <v>1.4292685477386227E-2</v>
      </c>
    </row>
    <row r="21" spans="2:15" x14ac:dyDescent="0.2">
      <c r="B21" s="587" t="s">
        <v>13</v>
      </c>
      <c r="C21" s="587"/>
      <c r="D21" s="587"/>
      <c r="E21" s="588">
        <f>E9-E16</f>
        <v>118586.98995500001</v>
      </c>
      <c r="F21" s="588">
        <f>F9-F16</f>
        <v>141159.16854099999</v>
      </c>
      <c r="G21" s="588">
        <f>G9-G16</f>
        <v>149672.89744399997</v>
      </c>
      <c r="H21" s="589">
        <f t="shared" ref="H21:N21" si="18">H9-H16</f>
        <v>143000.14728900004</v>
      </c>
      <c r="I21" s="604">
        <f t="shared" si="18"/>
        <v>143000.14728900004</v>
      </c>
      <c r="J21" s="590">
        <f>I21</f>
        <v>143000.14728900004</v>
      </c>
      <c r="K21" s="588">
        <f t="shared" si="18"/>
        <v>213631.9843054527</v>
      </c>
      <c r="L21" s="588">
        <f t="shared" si="18"/>
        <v>236444.91764459008</v>
      </c>
      <c r="M21" s="588">
        <f t="shared" si="18"/>
        <v>281148.75795774773</v>
      </c>
      <c r="N21" s="588">
        <f t="shared" si="18"/>
        <v>334726.55432986794</v>
      </c>
      <c r="O21" s="588">
        <f t="shared" ref="O21" si="19">O9-O16</f>
        <v>398992.3535079158</v>
      </c>
    </row>
    <row r="22" spans="2:15" ht="12.75" thickBot="1" x14ac:dyDescent="0.25">
      <c r="B22" s="348"/>
      <c r="C22" s="348" t="s">
        <v>301</v>
      </c>
      <c r="D22" s="348"/>
      <c r="E22" s="348"/>
      <c r="F22" s="349">
        <f t="shared" ref="F22:O22" si="20">F21-E21</f>
        <v>22572.17858599998</v>
      </c>
      <c r="G22" s="349">
        <f t="shared" si="20"/>
        <v>8513.7289029999811</v>
      </c>
      <c r="H22" s="569">
        <f t="shared" si="20"/>
        <v>-6672.7501549999288</v>
      </c>
      <c r="I22" s="605">
        <f t="shared" si="20"/>
        <v>0</v>
      </c>
      <c r="J22" s="570">
        <f>J21-G21</f>
        <v>-6672.7501549999288</v>
      </c>
      <c r="K22" s="349">
        <f t="shared" si="20"/>
        <v>70631.837016452657</v>
      </c>
      <c r="L22" s="349">
        <f t="shared" si="20"/>
        <v>22812.93333913738</v>
      </c>
      <c r="M22" s="349">
        <f t="shared" si="20"/>
        <v>44703.840313157649</v>
      </c>
      <c r="N22" s="349">
        <f t="shared" si="20"/>
        <v>53577.79637212021</v>
      </c>
      <c r="O22" s="349">
        <f t="shared" si="20"/>
        <v>64265.799178047862</v>
      </c>
    </row>
    <row r="23" spans="2:15" x14ac:dyDescent="0.2">
      <c r="C23" s="350" t="s">
        <v>302</v>
      </c>
      <c r="D23" s="350"/>
      <c r="E23" s="350"/>
      <c r="F23" s="351">
        <f>F11*365</f>
        <v>1.5291464539387054</v>
      </c>
      <c r="G23" s="351">
        <f t="shared" ref="G23:J23" si="21">G11*365</f>
        <v>1.3576398575904833</v>
      </c>
      <c r="H23" s="571">
        <f t="shared" si="21"/>
        <v>1.8482991333893504</v>
      </c>
      <c r="I23" s="606">
        <f t="shared" si="21"/>
        <v>1.8482991333893504</v>
      </c>
      <c r="J23" s="572">
        <f t="shared" si="21"/>
        <v>1.8482991333893504</v>
      </c>
      <c r="K23" s="351">
        <f t="shared" ref="K23:O23" si="22">K11*365</f>
        <v>1.5783618149728462</v>
      </c>
      <c r="L23" s="351">
        <f t="shared" si="22"/>
        <v>1.5783618149728462</v>
      </c>
      <c r="M23" s="351">
        <f t="shared" si="22"/>
        <v>1.5783618149728462</v>
      </c>
      <c r="N23" s="351">
        <f t="shared" si="22"/>
        <v>1.5783618149728462</v>
      </c>
      <c r="O23" s="351">
        <f t="shared" si="22"/>
        <v>1.5783618149728462</v>
      </c>
    </row>
    <row r="24" spans="2:15" x14ac:dyDescent="0.2">
      <c r="C24" s="350" t="s">
        <v>303</v>
      </c>
      <c r="D24" s="350"/>
      <c r="E24" s="350"/>
      <c r="F24" s="351">
        <f>F13*365</f>
        <v>63.941578577148888</v>
      </c>
      <c r="G24" s="351">
        <f t="shared" ref="G24:J24" si="23">G13*365</f>
        <v>52.965093081906197</v>
      </c>
      <c r="H24" s="571">
        <f t="shared" si="23"/>
        <v>44.190708463620908</v>
      </c>
      <c r="I24" s="606">
        <f t="shared" si="23"/>
        <v>44.190708463620908</v>
      </c>
      <c r="J24" s="572">
        <f t="shared" si="23"/>
        <v>44.190708463620908</v>
      </c>
      <c r="K24" s="351">
        <f t="shared" ref="K24:O24" si="24">K13*365</f>
        <v>53.699126707558662</v>
      </c>
      <c r="L24" s="351">
        <f t="shared" si="24"/>
        <v>53.699126707558662</v>
      </c>
      <c r="M24" s="351">
        <f t="shared" si="24"/>
        <v>53.699126707558662</v>
      </c>
      <c r="N24" s="351">
        <f t="shared" si="24"/>
        <v>53.699126707558662</v>
      </c>
      <c r="O24" s="351">
        <f t="shared" si="24"/>
        <v>53.699126707558662</v>
      </c>
    </row>
    <row r="25" spans="2:15" ht="12.75" thickBot="1" x14ac:dyDescent="0.25">
      <c r="B25" s="250"/>
      <c r="C25" s="352" t="s">
        <v>304</v>
      </c>
      <c r="D25" s="352"/>
      <c r="E25" s="352"/>
      <c r="F25" s="353">
        <f>F18*365</f>
        <v>1.7526283600744166</v>
      </c>
      <c r="G25" s="353">
        <f t="shared" ref="G25:J25" si="25">G18*365</f>
        <v>1.9469222378432849</v>
      </c>
      <c r="H25" s="573">
        <f t="shared" si="25"/>
        <v>2.3158060774942002</v>
      </c>
      <c r="I25" s="607">
        <f t="shared" si="25"/>
        <v>2.3158060774942002</v>
      </c>
      <c r="J25" s="574">
        <f t="shared" si="25"/>
        <v>2.3158060774942002</v>
      </c>
      <c r="K25" s="353">
        <f t="shared" ref="K25:O25" si="26">K18*365</f>
        <v>2.0051188918039671</v>
      </c>
      <c r="L25" s="353">
        <f t="shared" si="26"/>
        <v>2.0051188918039671</v>
      </c>
      <c r="M25" s="353">
        <f t="shared" si="26"/>
        <v>2.0051188918039671</v>
      </c>
      <c r="N25" s="353">
        <f t="shared" si="26"/>
        <v>2.0051188918039671</v>
      </c>
      <c r="O25" s="353">
        <f t="shared" si="26"/>
        <v>2.0051188918039671</v>
      </c>
    </row>
  </sheetData>
  <phoneticPr fontId="2" type="noConversion"/>
  <hyperlinks>
    <hyperlink ref="E1" location="Index!A1" display="Index!A1" xr:uid="{245547FF-5BEA-47CE-AE7D-F5447B847A56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A0BD9-7BE0-45B3-8F13-E2C9D41EF9E5}">
  <dimension ref="B1:J44"/>
  <sheetViews>
    <sheetView showGridLines="0" zoomScale="85" zoomScaleNormal="85" workbookViewId="0">
      <selection activeCell="E1" sqref="E1"/>
    </sheetView>
  </sheetViews>
  <sheetFormatPr defaultColWidth="9.28515625" defaultRowHeight="12" outlineLevelRow="1" x14ac:dyDescent="0.2"/>
  <cols>
    <col min="1" max="3" width="1.7109375" style="1" customWidth="1"/>
    <col min="4" max="4" width="18.42578125" style="1" bestFit="1" customWidth="1"/>
    <col min="5" max="9" width="13.140625" style="1" customWidth="1"/>
    <col min="10" max="10" width="8.7109375" style="575" customWidth="1"/>
    <col min="11" max="12" width="13.140625" style="1" customWidth="1"/>
    <col min="13" max="16384" width="9.28515625" style="1"/>
  </cols>
  <sheetData>
    <row r="1" spans="2:10" ht="15" x14ac:dyDescent="0.2">
      <c r="B1" s="25" t="s">
        <v>305</v>
      </c>
      <c r="E1" s="614" t="s">
        <v>0</v>
      </c>
    </row>
    <row r="2" spans="2:10" ht="12.75" thickBot="1" x14ac:dyDescent="0.25"/>
    <row r="3" spans="2:10" x14ac:dyDescent="0.2">
      <c r="B3" s="182" t="s">
        <v>29</v>
      </c>
      <c r="C3" s="182"/>
      <c r="D3" s="182"/>
      <c r="E3" s="183">
        <v>2018</v>
      </c>
      <c r="F3" s="183">
        <v>2019</v>
      </c>
      <c r="G3" s="183">
        <v>2020</v>
      </c>
      <c r="H3" s="183" t="s">
        <v>306</v>
      </c>
      <c r="J3" s="576" t="s">
        <v>307</v>
      </c>
    </row>
    <row r="4" spans="2:10" x14ac:dyDescent="0.2">
      <c r="B4" s="184" t="s">
        <v>308</v>
      </c>
      <c r="C4" s="184"/>
      <c r="D4" s="184"/>
      <c r="E4" s="185">
        <f>E5+E13</f>
        <v>288457.57209400006</v>
      </c>
      <c r="F4" s="185">
        <f t="shared" ref="F4:H4" si="0">F5+F13</f>
        <v>320014.72638200002</v>
      </c>
      <c r="G4" s="185">
        <f t="shared" si="0"/>
        <v>342314.45859199995</v>
      </c>
      <c r="H4" s="185">
        <f t="shared" si="0"/>
        <v>484945.68111500004</v>
      </c>
      <c r="I4" s="181"/>
      <c r="J4" s="577"/>
    </row>
    <row r="5" spans="2:10" x14ac:dyDescent="0.2">
      <c r="B5" s="93"/>
      <c r="C5" s="186" t="s">
        <v>309</v>
      </c>
      <c r="D5" s="186"/>
      <c r="E5" s="187">
        <f>SUM(E6:E12)</f>
        <v>140084.65873000002</v>
      </c>
      <c r="F5" s="187">
        <f t="shared" ref="F5:H5" si="1">SUM(F6:F12)</f>
        <v>168521.63829899998</v>
      </c>
      <c r="G5" s="187">
        <f t="shared" si="1"/>
        <v>188905.27488799999</v>
      </c>
      <c r="H5" s="187">
        <f t="shared" si="1"/>
        <v>233528.34787500001</v>
      </c>
      <c r="I5" s="181"/>
      <c r="J5" s="577"/>
    </row>
    <row r="6" spans="2:10" outlineLevel="1" x14ac:dyDescent="0.2">
      <c r="B6" s="93"/>
      <c r="C6" s="93"/>
      <c r="D6" s="186" t="s">
        <v>310</v>
      </c>
      <c r="E6" s="187">
        <f>IFERROR(Dart_FS!C8/10^6,0)</f>
        <v>1036.1439780000001</v>
      </c>
      <c r="F6" s="187">
        <f>IFERROR(Dart_FS!D8/10^6,0)</f>
        <v>6804.7641549999998</v>
      </c>
      <c r="G6" s="187">
        <f>IFERROR(Dart_FS!E8/10^6,0)</f>
        <v>15534.675923000001</v>
      </c>
      <c r="H6" s="187">
        <f>IFERROR(Dart_FS!F8/10^6,0)</f>
        <v>47077.973882999999</v>
      </c>
      <c r="I6" s="181"/>
      <c r="J6" s="575" t="s">
        <v>311</v>
      </c>
    </row>
    <row r="7" spans="2:10" outlineLevel="1" x14ac:dyDescent="0.2">
      <c r="B7" s="93"/>
      <c r="C7" s="93"/>
      <c r="D7" s="186" t="s">
        <v>312</v>
      </c>
      <c r="E7" s="187">
        <f>IFERROR(Dart_FS!C9/10^6,0)</f>
        <v>7325.6302779999996</v>
      </c>
      <c r="F7" s="187">
        <f>IFERROR(Dart_FS!D9/10^6,0)</f>
        <v>4038.9554760000001</v>
      </c>
      <c r="G7" s="187">
        <f>IFERROR(Dart_FS!E9/10^6,0)</f>
        <v>4665.2039089999998</v>
      </c>
      <c r="H7" s="187">
        <f>IFERROR(Dart_FS!F9/10^6,0)</f>
        <v>7961.0649210000001</v>
      </c>
      <c r="I7" s="181"/>
      <c r="J7" s="577" t="s">
        <v>13</v>
      </c>
    </row>
    <row r="8" spans="2:10" outlineLevel="1" x14ac:dyDescent="0.2">
      <c r="B8" s="93"/>
      <c r="C8" s="93"/>
      <c r="D8" s="186" t="s">
        <v>313</v>
      </c>
      <c r="E8" s="187">
        <f>IFERROR(Dart_FS!C10/10^6,0)</f>
        <v>0</v>
      </c>
      <c r="F8" s="187">
        <f>IFERROR(Dart_FS!D10/10^6,0)</f>
        <v>0</v>
      </c>
      <c r="G8" s="187">
        <f>IFERROR(Dart_FS!E10/10^6,0)</f>
        <v>0</v>
      </c>
      <c r="H8" s="187">
        <f>IFERROR(Dart_FS!F10/10^6,0)</f>
        <v>200</v>
      </c>
      <c r="I8" s="181"/>
      <c r="J8" s="577"/>
    </row>
    <row r="9" spans="2:10" outlineLevel="1" x14ac:dyDescent="0.2">
      <c r="B9" s="93"/>
      <c r="C9" s="93"/>
      <c r="D9" s="186" t="s">
        <v>314</v>
      </c>
      <c r="E9" s="187">
        <f>IFERROR(Dart_FS!C11/10^6,0)</f>
        <v>3760</v>
      </c>
      <c r="F9" s="187">
        <f>IFERROR(Dart_FS!D11/10^6,0)</f>
        <v>4595</v>
      </c>
      <c r="G9" s="187">
        <f>IFERROR(Dart_FS!E11/10^6,0)</f>
        <v>4923</v>
      </c>
      <c r="H9" s="187">
        <f>IFERROR(Dart_FS!F11/10^6,0)</f>
        <v>7700.1970000000001</v>
      </c>
      <c r="I9" s="181"/>
      <c r="J9" s="577"/>
    </row>
    <row r="10" spans="2:10" outlineLevel="1" x14ac:dyDescent="0.2">
      <c r="B10" s="93"/>
      <c r="C10" s="93"/>
      <c r="D10" s="186" t="s">
        <v>315</v>
      </c>
      <c r="E10" s="187">
        <f>IFERROR(Dart_FS!C12/10^6,0)</f>
        <v>2516.7443859999998</v>
      </c>
      <c r="F10" s="187">
        <f>IFERROR(Dart_FS!D12/10^6,0)</f>
        <v>2665.187034</v>
      </c>
      <c r="G10" s="187">
        <f>IFERROR(Dart_FS!E12/10^6,0)</f>
        <v>2450.4876840000002</v>
      </c>
      <c r="H10" s="187">
        <f>IFERROR(Dart_FS!F12/10^6,0)</f>
        <v>4823.8253089999998</v>
      </c>
      <c r="I10" s="181"/>
      <c r="J10" s="577" t="s">
        <v>13</v>
      </c>
    </row>
    <row r="11" spans="2:10" outlineLevel="1" x14ac:dyDescent="0.2">
      <c r="B11" s="93"/>
      <c r="C11" s="93"/>
      <c r="D11" s="186" t="s">
        <v>316</v>
      </c>
      <c r="E11" s="187">
        <f>IFERROR(Dart_FS!C13/10^6,0)</f>
        <v>125377.11036200001</v>
      </c>
      <c r="F11" s="187">
        <f>IFERROR(Dart_FS!D13/10^6,0)</f>
        <v>150417.731634</v>
      </c>
      <c r="G11" s="187">
        <f>IFERROR(Dart_FS!E13/10^6,0)</f>
        <v>161331.90737199999</v>
      </c>
      <c r="H11" s="187">
        <f>IFERROR(Dart_FS!F13/10^6,0)</f>
        <v>165762.87459200001</v>
      </c>
      <c r="I11" s="181"/>
      <c r="J11" s="577" t="s">
        <v>13</v>
      </c>
    </row>
    <row r="12" spans="2:10" outlineLevel="1" x14ac:dyDescent="0.2">
      <c r="B12" s="93"/>
      <c r="C12" s="93"/>
      <c r="D12" s="186" t="s">
        <v>317</v>
      </c>
      <c r="E12" s="187">
        <f>IFERROR(Dart_FS!C14/10^6,0)</f>
        <v>69.029725999999997</v>
      </c>
      <c r="F12" s="187">
        <f>IFERROR(Dart_FS!D14/10^6,0)</f>
        <v>0</v>
      </c>
      <c r="G12" s="187">
        <f>IFERROR(Dart_FS!E14/10^6,0)</f>
        <v>0</v>
      </c>
      <c r="H12" s="187">
        <f>IFERROR(Dart_FS!F14/10^6,0)</f>
        <v>2.4121700000000001</v>
      </c>
      <c r="I12" s="181"/>
      <c r="J12" s="577"/>
    </row>
    <row r="13" spans="2:10" x14ac:dyDescent="0.2">
      <c r="B13" s="93"/>
      <c r="C13" s="186" t="s">
        <v>318</v>
      </c>
      <c r="D13" s="186"/>
      <c r="E13" s="187">
        <f>SUM(E14:E19)</f>
        <v>148372.91336400001</v>
      </c>
      <c r="F13" s="187">
        <f t="shared" ref="F13:H13" si="2">SUM(F14:F19)</f>
        <v>151493.08808300001</v>
      </c>
      <c r="G13" s="187">
        <f t="shared" si="2"/>
        <v>153409.183704</v>
      </c>
      <c r="H13" s="187">
        <f t="shared" si="2"/>
        <v>251417.33324000001</v>
      </c>
      <c r="I13" s="181"/>
      <c r="J13" s="577"/>
    </row>
    <row r="14" spans="2:10" outlineLevel="1" x14ac:dyDescent="0.2">
      <c r="B14" s="93"/>
      <c r="C14" s="93"/>
      <c r="D14" s="186" t="s">
        <v>319</v>
      </c>
      <c r="E14" s="187">
        <f>IFERROR(Dart_FS!C16/10^6,0)</f>
        <v>10036.381890000001</v>
      </c>
      <c r="F14" s="187">
        <f>IFERROR(Dart_FS!D16/10^6,0)</f>
        <v>12493.769764000001</v>
      </c>
      <c r="G14" s="187">
        <f>IFERROR(Dart_FS!E16/10^6,0)</f>
        <v>13736.777638</v>
      </c>
      <c r="H14" s="187">
        <f>IFERROR(Dart_FS!F16/10^6,0)</f>
        <v>16741.147248000001</v>
      </c>
      <c r="I14" s="181"/>
      <c r="J14" s="577"/>
    </row>
    <row r="15" spans="2:10" outlineLevel="1" x14ac:dyDescent="0.2">
      <c r="B15" s="93"/>
      <c r="C15" s="93"/>
      <c r="D15" s="186" t="s">
        <v>320</v>
      </c>
      <c r="E15" s="187">
        <f>IFERROR(Dart_FS!C17/10^6,0)</f>
        <v>26826.660048000002</v>
      </c>
      <c r="F15" s="187">
        <f>IFERROR(Dart_FS!D17/10^6,0)</f>
        <v>27508.006286</v>
      </c>
      <c r="G15" s="187">
        <f>IFERROR(Dart_FS!E17/10^6,0)</f>
        <v>26051.592431000001</v>
      </c>
      <c r="H15" s="187">
        <f>IFERROR(Dart_FS!F17/10^6,0)</f>
        <v>120299.11275099999</v>
      </c>
      <c r="I15" s="181"/>
      <c r="J15" s="577"/>
    </row>
    <row r="16" spans="2:10" outlineLevel="1" x14ac:dyDescent="0.2">
      <c r="B16" s="93"/>
      <c r="C16" s="93"/>
      <c r="D16" s="186" t="s">
        <v>321</v>
      </c>
      <c r="E16" s="187">
        <f>IFERROR(Dart_FS!C18/10^6,0)</f>
        <v>77752.174341000005</v>
      </c>
      <c r="F16" s="187">
        <f>IFERROR(Dart_FS!D18/10^6,0)</f>
        <v>77416.231660000005</v>
      </c>
      <c r="G16" s="187">
        <f>IFERROR(Dart_FS!E18/10^6,0)</f>
        <v>77691.221374000001</v>
      </c>
      <c r="H16" s="187">
        <f>IFERROR(Dart_FS!F18/10^6,0)</f>
        <v>77322.184699000005</v>
      </c>
      <c r="I16" s="181"/>
      <c r="J16" s="577"/>
    </row>
    <row r="17" spans="2:10" outlineLevel="1" x14ac:dyDescent="0.2">
      <c r="B17" s="93"/>
      <c r="C17" s="93"/>
      <c r="D17" s="186" t="s">
        <v>322</v>
      </c>
      <c r="E17" s="187">
        <f>IFERROR(Dart_FS!C19/10^6,0)</f>
        <v>33498.327654000001</v>
      </c>
      <c r="F17" s="187">
        <f>IFERROR(Dart_FS!D19/10^6,0)</f>
        <v>34075.080372999997</v>
      </c>
      <c r="G17" s="187">
        <f>IFERROR(Dart_FS!E19/10^6,0)</f>
        <v>35929.592260999998</v>
      </c>
      <c r="H17" s="187">
        <f>IFERROR(Dart_FS!F19/10^6,0)</f>
        <v>36543.898147</v>
      </c>
      <c r="I17" s="181"/>
      <c r="J17" s="577"/>
    </row>
    <row r="18" spans="2:10" outlineLevel="1" x14ac:dyDescent="0.2">
      <c r="B18" s="93"/>
      <c r="C18" s="93"/>
      <c r="D18" s="186" t="s">
        <v>323</v>
      </c>
      <c r="E18" s="187">
        <f>IFERROR(Dart_FS!C20/10^6,0)</f>
        <v>259.36943100000002</v>
      </c>
      <c r="F18" s="187">
        <f>IFERROR(Dart_FS!D20/10^6,0)</f>
        <v>0</v>
      </c>
      <c r="G18" s="187">
        <f>IFERROR(Dart_FS!E20/10^6,0)</f>
        <v>0</v>
      </c>
      <c r="H18" s="187">
        <f>IFERROR(Dart_FS!F20/10^6,0)</f>
        <v>0</v>
      </c>
      <c r="I18" s="181"/>
      <c r="J18" s="577"/>
    </row>
    <row r="19" spans="2:10" ht="12.75" outlineLevel="1" thickBot="1" x14ac:dyDescent="0.25">
      <c r="B19" s="93"/>
      <c r="C19" s="93"/>
      <c r="D19" s="186" t="s">
        <v>324</v>
      </c>
      <c r="E19" s="187">
        <f>IFERROR(Dart_FS!C21/10^6,0)</f>
        <v>0</v>
      </c>
      <c r="F19" s="187">
        <f>IFERROR(Dart_FS!D21/10^6,0)</f>
        <v>0</v>
      </c>
      <c r="G19" s="187">
        <f>IFERROR(Dart_FS!E21/10^6,0)</f>
        <v>0</v>
      </c>
      <c r="H19" s="187">
        <f>IFERROR(Dart_FS!F21/10^6,0)</f>
        <v>510.99039499999998</v>
      </c>
      <c r="I19" s="181"/>
      <c r="J19" s="577"/>
    </row>
    <row r="20" spans="2:10" x14ac:dyDescent="0.2">
      <c r="B20" s="193" t="s">
        <v>325</v>
      </c>
      <c r="C20" s="194"/>
      <c r="D20" s="194"/>
      <c r="E20" s="195">
        <f>E21+E30</f>
        <v>153153.17438399998</v>
      </c>
      <c r="F20" s="195">
        <f t="shared" ref="F20:H20" si="3">F21+F30</f>
        <v>171646.91714600002</v>
      </c>
      <c r="G20" s="195">
        <f t="shared" si="3"/>
        <v>171348.57563800001</v>
      </c>
      <c r="H20" s="195">
        <f t="shared" si="3"/>
        <v>286891.76727900002</v>
      </c>
      <c r="I20" s="181"/>
      <c r="J20" s="577"/>
    </row>
    <row r="21" spans="2:10" x14ac:dyDescent="0.2">
      <c r="B21" s="93"/>
      <c r="C21" s="186" t="s">
        <v>326</v>
      </c>
      <c r="D21" s="186"/>
      <c r="E21" s="187">
        <f>SUM(E22:E29)</f>
        <v>27609.104323</v>
      </c>
      <c r="F21" s="187">
        <f t="shared" ref="F21:H21" si="4">SUM(F22:F29)</f>
        <v>28586.717019</v>
      </c>
      <c r="G21" s="187">
        <f t="shared" si="4"/>
        <v>36675.340004999998</v>
      </c>
      <c r="H21" s="187">
        <f t="shared" si="4"/>
        <v>228406.42123900005</v>
      </c>
      <c r="I21" s="181"/>
      <c r="J21" s="577"/>
    </row>
    <row r="22" spans="2:10" outlineLevel="1" x14ac:dyDescent="0.2">
      <c r="B22" s="93"/>
      <c r="C22" s="186"/>
      <c r="D22" s="186" t="s">
        <v>327</v>
      </c>
      <c r="E22" s="187">
        <f>IFERROR(Dart_FS!C25/10^6,0)</f>
        <v>6251.7465979999997</v>
      </c>
      <c r="F22" s="187">
        <f>IFERROR(Dart_FS!D25/10^6,0)</f>
        <v>4267.1034239999999</v>
      </c>
      <c r="G22" s="187">
        <f>IFERROR(Dart_FS!E25/10^6,0)</f>
        <v>6132.8999709999998</v>
      </c>
      <c r="H22" s="187">
        <f>IFERROR(Dart_FS!F25/10^6,0)</f>
        <v>8997.5111570000008</v>
      </c>
      <c r="I22" s="181"/>
      <c r="J22" s="577" t="s">
        <v>13</v>
      </c>
    </row>
    <row r="23" spans="2:10" outlineLevel="1" x14ac:dyDescent="0.2">
      <c r="B23" s="93"/>
      <c r="C23" s="186"/>
      <c r="D23" s="186" t="s">
        <v>328</v>
      </c>
      <c r="E23" s="187">
        <f>IFERROR(Dart_FS!C26/10^6,0)</f>
        <v>1568</v>
      </c>
      <c r="F23" s="187">
        <f>IFERROR(Dart_FS!D26/10^6,0)</f>
        <v>1761</v>
      </c>
      <c r="G23" s="187">
        <f>IFERROR(Dart_FS!E26/10^6,0)</f>
        <v>1934</v>
      </c>
      <c r="H23" s="187">
        <f>IFERROR(Dart_FS!F26/10^6,0)</f>
        <v>4685.4576749999997</v>
      </c>
      <c r="I23" s="181"/>
      <c r="J23" s="577"/>
    </row>
    <row r="24" spans="2:10" outlineLevel="1" x14ac:dyDescent="0.2">
      <c r="B24" s="93"/>
      <c r="C24" s="186"/>
      <c r="D24" s="186" t="s">
        <v>329</v>
      </c>
      <c r="E24" s="187">
        <f>IFERROR(Dart_FS!C27/10^6,0)</f>
        <v>0</v>
      </c>
      <c r="F24" s="187">
        <f>IFERROR(Dart_FS!D27/10^6,0)</f>
        <v>0</v>
      </c>
      <c r="G24" s="187">
        <f>IFERROR(Dart_FS!E27/10^6,0)</f>
        <v>0</v>
      </c>
      <c r="H24" s="187">
        <f>IFERROR(Dart_FS!F27/10^6,0)</f>
        <v>137633.74726900001</v>
      </c>
      <c r="I24" s="181"/>
      <c r="J24" s="577"/>
    </row>
    <row r="25" spans="2:10" outlineLevel="1" x14ac:dyDescent="0.2">
      <c r="B25" s="93"/>
      <c r="C25" s="186"/>
      <c r="D25" s="186" t="s">
        <v>330</v>
      </c>
      <c r="E25" s="187">
        <f>IFERROR(Dart_FS!C28/10^6,0)</f>
        <v>10380.748473</v>
      </c>
      <c r="F25" s="187">
        <f>IFERROR(Dart_FS!D28/10^6,0)</f>
        <v>11695.602179</v>
      </c>
      <c r="G25" s="187">
        <f>IFERROR(Dart_FS!E28/10^6,0)</f>
        <v>12641.80155</v>
      </c>
      <c r="H25" s="187">
        <f>IFERROR(Dart_FS!F28/10^6,0)</f>
        <v>26550.106376</v>
      </c>
      <c r="I25" s="181"/>
      <c r="J25" s="577" t="s">
        <v>13</v>
      </c>
    </row>
    <row r="26" spans="2:10" outlineLevel="1" x14ac:dyDescent="0.2">
      <c r="B26" s="93"/>
      <c r="C26" s="186"/>
      <c r="D26" s="186" t="s">
        <v>331</v>
      </c>
      <c r="E26" s="187">
        <f>IFERROR(Dart_FS!C29/10^6,0)</f>
        <v>9408.6092520000002</v>
      </c>
      <c r="F26" s="187">
        <f>IFERROR(Dart_FS!D29/10^6,0)</f>
        <v>10457.590971</v>
      </c>
      <c r="G26" s="187">
        <f>IFERROR(Dart_FS!E29/10^6,0)</f>
        <v>12180.235358</v>
      </c>
      <c r="H26" s="187">
        <f>IFERROR(Dart_FS!F29/10^6,0)</f>
        <v>13467.469351</v>
      </c>
      <c r="I26" s="181"/>
      <c r="J26" s="577" t="s">
        <v>332</v>
      </c>
    </row>
    <row r="27" spans="2:10" outlineLevel="1" x14ac:dyDescent="0.2">
      <c r="B27" s="93"/>
      <c r="C27" s="186"/>
      <c r="D27" s="186" t="s">
        <v>333</v>
      </c>
      <c r="E27" s="187">
        <f>IFERROR(Dart_FS!C30/10^6,0)</f>
        <v>0</v>
      </c>
      <c r="F27" s="187">
        <f>IFERROR(Dart_FS!D30/10^6,0)</f>
        <v>405.42044499999997</v>
      </c>
      <c r="G27" s="187">
        <f>IFERROR(Dart_FS!E30/10^6,0)</f>
        <v>3786.4031260000002</v>
      </c>
      <c r="H27" s="187">
        <f>IFERROR(Dart_FS!F30/10^6,0)</f>
        <v>8663.4515589999992</v>
      </c>
      <c r="I27" s="181"/>
      <c r="J27" s="577"/>
    </row>
    <row r="28" spans="2:10" outlineLevel="1" x14ac:dyDescent="0.2">
      <c r="B28" s="93"/>
      <c r="C28" s="186"/>
      <c r="D28" s="186" t="s">
        <v>334</v>
      </c>
      <c r="E28" s="187">
        <f>IFERROR(Dart_FS!C31/10^6,0)</f>
        <v>0</v>
      </c>
      <c r="F28" s="187">
        <f>IFERROR(Dart_FS!D31/10^6,0)</f>
        <v>0</v>
      </c>
      <c r="G28" s="187">
        <f>IFERROR(Dart_FS!E31/10^6,0)</f>
        <v>0</v>
      </c>
      <c r="H28" s="187">
        <f>IFERROR(Dart_FS!F31/10^6,0)</f>
        <v>28390.307041</v>
      </c>
      <c r="I28" s="181"/>
      <c r="J28" s="577" t="s">
        <v>332</v>
      </c>
    </row>
    <row r="29" spans="2:10" outlineLevel="1" x14ac:dyDescent="0.2">
      <c r="B29" s="93"/>
      <c r="C29" s="186"/>
      <c r="D29" s="186" t="s">
        <v>335</v>
      </c>
      <c r="E29" s="187">
        <f>IFERROR(Dart_FS!C32/10^6,0)</f>
        <v>0</v>
      </c>
      <c r="F29" s="187">
        <f>IFERROR(Dart_FS!D32/10^6,0)</f>
        <v>0</v>
      </c>
      <c r="G29" s="187">
        <f>IFERROR(Dart_FS!E32/10^6,0)</f>
        <v>0</v>
      </c>
      <c r="H29" s="187">
        <f>IFERROR(Dart_FS!F32/10^6,0)</f>
        <v>18.370811</v>
      </c>
      <c r="I29" s="181"/>
      <c r="J29" s="577"/>
    </row>
    <row r="30" spans="2:10" x14ac:dyDescent="0.2">
      <c r="B30" s="93"/>
      <c r="C30" s="186" t="s">
        <v>336</v>
      </c>
      <c r="D30" s="186"/>
      <c r="E30" s="187">
        <f>SUM(E31:E37)</f>
        <v>125544.07006099999</v>
      </c>
      <c r="F30" s="187">
        <f t="shared" ref="F30:H30" si="5">SUM(F31:F37)</f>
        <v>143060.20012700002</v>
      </c>
      <c r="G30" s="187">
        <f t="shared" si="5"/>
        <v>134673.235633</v>
      </c>
      <c r="H30" s="187">
        <f t="shared" si="5"/>
        <v>58485.346039999989</v>
      </c>
      <c r="I30" s="181"/>
      <c r="J30" s="577"/>
    </row>
    <row r="31" spans="2:10" outlineLevel="1" x14ac:dyDescent="0.2">
      <c r="B31" s="93"/>
      <c r="C31" s="186"/>
      <c r="D31" s="186" t="s">
        <v>337</v>
      </c>
      <c r="E31" s="187">
        <f>IFERROR(Dart_FS!C34/10^6,0)</f>
        <v>97444.275815000001</v>
      </c>
      <c r="F31" s="187">
        <f>IFERROR(Dart_FS!D34/10^6,0)</f>
        <v>111763.081349</v>
      </c>
      <c r="G31" s="187">
        <f>IFERROR(Dart_FS!E34/10^6,0)</f>
        <v>99279.187934000001</v>
      </c>
      <c r="H31" s="187">
        <f>IFERROR(Dart_FS!F34/10^6,0)</f>
        <v>16577.777781000001</v>
      </c>
      <c r="I31" s="181"/>
      <c r="J31" s="577" t="s">
        <v>332</v>
      </c>
    </row>
    <row r="32" spans="2:10" outlineLevel="1" x14ac:dyDescent="0.2">
      <c r="B32" s="93"/>
      <c r="C32" s="186"/>
      <c r="D32" s="186" t="s">
        <v>338</v>
      </c>
      <c r="E32" s="187">
        <f>IFERROR(Dart_FS!C35/10^6,0)</f>
        <v>801.99499900000001</v>
      </c>
      <c r="F32" s="187">
        <f>IFERROR(Dart_FS!D35/10^6,0)</f>
        <v>1246.317029</v>
      </c>
      <c r="G32" s="187">
        <f>IFERROR(Dart_FS!E35/10^6,0)</f>
        <v>1118.7487639999999</v>
      </c>
      <c r="H32" s="187">
        <f>IFERROR(Dart_FS!F35/10^6,0)</f>
        <v>1544.1062870000001</v>
      </c>
      <c r="I32" s="181"/>
      <c r="J32" s="577"/>
    </row>
    <row r="33" spans="2:10" outlineLevel="1" x14ac:dyDescent="0.2">
      <c r="B33" s="93"/>
      <c r="C33" s="186"/>
      <c r="D33" s="186" t="s">
        <v>339</v>
      </c>
      <c r="E33" s="187">
        <f>IFERROR(Dart_FS!C36/10^6,0)</f>
        <v>31.8</v>
      </c>
      <c r="F33" s="187">
        <f>IFERROR(Dart_FS!D36/10^6,0)</f>
        <v>30</v>
      </c>
      <c r="G33" s="187">
        <f>IFERROR(Dart_FS!E36/10^6,0)</f>
        <v>30</v>
      </c>
      <c r="H33" s="187">
        <f>IFERROR(Dart_FS!F36/10^6,0)</f>
        <v>2746.588076</v>
      </c>
      <c r="I33" s="181"/>
      <c r="J33" s="577"/>
    </row>
    <row r="34" spans="2:10" outlineLevel="1" x14ac:dyDescent="0.2">
      <c r="B34" s="93"/>
      <c r="C34" s="186"/>
      <c r="D34" s="186" t="s">
        <v>340</v>
      </c>
      <c r="E34" s="187">
        <f>IFERROR(Dart_FS!C37/10^6,0)</f>
        <v>24358.533071999998</v>
      </c>
      <c r="F34" s="187">
        <f>IFERROR(Dart_FS!D37/10^6,0)</f>
        <v>24556.894777000001</v>
      </c>
      <c r="G34" s="187">
        <f>IFERROR(Dart_FS!E37/10^6,0)</f>
        <v>25229.611690000002</v>
      </c>
      <c r="H34" s="187">
        <f>IFERROR(Dart_FS!F37/10^6,0)</f>
        <v>25248.726908000001</v>
      </c>
      <c r="I34" s="181"/>
      <c r="J34" s="577" t="s">
        <v>332</v>
      </c>
    </row>
    <row r="35" spans="2:10" outlineLevel="1" x14ac:dyDescent="0.2">
      <c r="B35" s="93"/>
      <c r="C35" s="186"/>
      <c r="D35" s="186" t="s">
        <v>341</v>
      </c>
      <c r="E35" s="187">
        <f>IFERROR(Dart_FS!C38/10^6,0)</f>
        <v>2907.466175</v>
      </c>
      <c r="F35" s="187">
        <f>IFERROR(Dart_FS!D38/10^6,0)</f>
        <v>2169.7182320000002</v>
      </c>
      <c r="G35" s="187">
        <f>IFERROR(Dart_FS!E38/10^6,0)</f>
        <v>3280.259963</v>
      </c>
      <c r="H35" s="187">
        <f>IFERROR(Dart_FS!F38/10^6,0)</f>
        <v>6604.9651720000002</v>
      </c>
      <c r="I35" s="181"/>
      <c r="J35" s="577"/>
    </row>
    <row r="36" spans="2:10" outlineLevel="1" x14ac:dyDescent="0.2">
      <c r="B36" s="93"/>
      <c r="C36" s="186"/>
      <c r="D36" s="186" t="s">
        <v>342</v>
      </c>
      <c r="E36" s="187">
        <f>IFERROR(Dart_FS!C39/10^6,0)</f>
        <v>0</v>
      </c>
      <c r="F36" s="187">
        <f>IFERROR(Dart_FS!D39/10^6,0)</f>
        <v>3294.1887400000001</v>
      </c>
      <c r="G36" s="187">
        <f>IFERROR(Dart_FS!E39/10^6,0)</f>
        <v>5735.4272819999996</v>
      </c>
      <c r="H36" s="187">
        <f>IFERROR(Dart_FS!F39/10^6,0)</f>
        <v>5719.7850879999996</v>
      </c>
      <c r="I36" s="181"/>
      <c r="J36" s="577"/>
    </row>
    <row r="37" spans="2:10" ht="12.75" outlineLevel="1" thickBot="1" x14ac:dyDescent="0.25">
      <c r="B37" s="190"/>
      <c r="C37" s="191"/>
      <c r="D37" s="191" t="s">
        <v>343</v>
      </c>
      <c r="E37" s="192">
        <f>IFERROR(Dart_FS!C40/10^6,0)</f>
        <v>0</v>
      </c>
      <c r="F37" s="192">
        <f>IFERROR(Dart_FS!D40/10^6,0)</f>
        <v>0</v>
      </c>
      <c r="G37" s="192">
        <f>IFERROR(Dart_FS!E40/10^6,0)</f>
        <v>0</v>
      </c>
      <c r="H37" s="192">
        <f>IFERROR(Dart_FS!F40/10^6,0)</f>
        <v>43.396728000000003</v>
      </c>
      <c r="I37" s="181"/>
      <c r="J37" s="577"/>
    </row>
    <row r="38" spans="2:10" x14ac:dyDescent="0.2">
      <c r="B38" s="193" t="s">
        <v>344</v>
      </c>
      <c r="C38" s="194"/>
      <c r="D38" s="194"/>
      <c r="E38" s="195">
        <f>SUM(E39:E42)</f>
        <v>135304.39770999999</v>
      </c>
      <c r="F38" s="195">
        <f t="shared" ref="F38:H38" si="6">SUM(F39:F42)</f>
        <v>148367.809236</v>
      </c>
      <c r="G38" s="195">
        <f t="shared" si="6"/>
        <v>170965.882954</v>
      </c>
      <c r="H38" s="195">
        <f t="shared" si="6"/>
        <v>198053.91383599999</v>
      </c>
      <c r="I38" s="181"/>
      <c r="J38" s="577"/>
    </row>
    <row r="39" spans="2:10" outlineLevel="1" x14ac:dyDescent="0.2">
      <c r="B39" s="93"/>
      <c r="C39" s="186" t="s">
        <v>345</v>
      </c>
      <c r="D39" s="186"/>
      <c r="E39" s="187">
        <f>IFERROR(Dart_FS!C43/10^6,0)</f>
        <v>6675.5</v>
      </c>
      <c r="F39" s="187">
        <f>IFERROR(Dart_FS!D43/10^6,0)</f>
        <v>6675.5</v>
      </c>
      <c r="G39" s="187">
        <f>IFERROR(Dart_FS!E43/10^6,0)</f>
        <v>6675.5</v>
      </c>
      <c r="H39" s="187">
        <f>IFERROR(Dart_FS!F43/10^6,0)</f>
        <v>23442.184499999999</v>
      </c>
      <c r="I39" s="181"/>
      <c r="J39" s="577"/>
    </row>
    <row r="40" spans="2:10" outlineLevel="1" x14ac:dyDescent="0.2">
      <c r="B40" s="93"/>
      <c r="C40" s="186" t="s">
        <v>346</v>
      </c>
      <c r="D40" s="186"/>
      <c r="E40" s="187">
        <f>IFERROR(Dart_FS!C44/10^6,0)</f>
        <v>126738.38</v>
      </c>
      <c r="F40" s="187">
        <f>IFERROR(Dart_FS!D44/10^6,0)</f>
        <v>126738.38</v>
      </c>
      <c r="G40" s="187">
        <f>IFERROR(Dart_FS!E44/10^6,0)</f>
        <v>26738.38</v>
      </c>
      <c r="H40" s="187">
        <f>IFERROR(Dart_FS!F44/10^6,0)</f>
        <v>44181.239745999999</v>
      </c>
      <c r="I40" s="181"/>
      <c r="J40" s="577"/>
    </row>
    <row r="41" spans="2:10" outlineLevel="1" x14ac:dyDescent="0.2">
      <c r="B41" s="93"/>
      <c r="C41" s="186" t="s">
        <v>347</v>
      </c>
      <c r="D41" s="186"/>
      <c r="E41" s="187">
        <f>IFERROR(Dart_FS!C45/10^6,0)</f>
        <v>0</v>
      </c>
      <c r="F41" s="187">
        <f>IFERROR(Dart_FS!D45/10^6,0)</f>
        <v>0</v>
      </c>
      <c r="G41" s="187">
        <f>IFERROR(Dart_FS!E45/10^6,0)</f>
        <v>0</v>
      </c>
      <c r="H41" s="187">
        <f>IFERROR(Dart_FS!F45/10^6,0)</f>
        <v>2311.3203560000002</v>
      </c>
      <c r="I41" s="181"/>
      <c r="J41" s="577"/>
    </row>
    <row r="42" spans="2:10" ht="12.75" outlineLevel="1" thickBot="1" x14ac:dyDescent="0.25">
      <c r="B42" s="196"/>
      <c r="C42" s="188" t="s">
        <v>348</v>
      </c>
      <c r="D42" s="188"/>
      <c r="E42" s="189">
        <f>IFERROR(Dart_FS!C46/10^6,0)</f>
        <v>1890.5177100000001</v>
      </c>
      <c r="F42" s="189">
        <f>IFERROR(Dart_FS!D46/10^6,0)</f>
        <v>14953.929236</v>
      </c>
      <c r="G42" s="189">
        <f>IFERROR(Dart_FS!E46/10^6,0)</f>
        <v>137552.002954</v>
      </c>
      <c r="H42" s="189">
        <f>IFERROR(Dart_FS!F46/10^6,0)</f>
        <v>128119.169234</v>
      </c>
      <c r="I42" s="181"/>
      <c r="J42" s="577"/>
    </row>
    <row r="43" spans="2:10" x14ac:dyDescent="0.2">
      <c r="B43" s="330"/>
      <c r="C43" s="331"/>
      <c r="D43" s="331"/>
      <c r="E43" s="332"/>
      <c r="F43" s="332"/>
      <c r="G43" s="332"/>
      <c r="H43" s="332"/>
      <c r="I43" s="181"/>
      <c r="J43" s="577"/>
    </row>
    <row r="44" spans="2:10" x14ac:dyDescent="0.2">
      <c r="E44" s="181"/>
      <c r="F44" s="181"/>
      <c r="G44" s="181"/>
      <c r="H44" s="181"/>
      <c r="I44" s="181"/>
      <c r="J44" s="577"/>
    </row>
  </sheetData>
  <phoneticPr fontId="2" type="noConversion"/>
  <hyperlinks>
    <hyperlink ref="E1" location="Index!A1" display="Index!A1" xr:uid="{B881B2EE-E80B-43E9-A586-0D0E87E3626C}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43610-883F-4936-ABA7-B5A26D268756}">
  <sheetPr>
    <tabColor theme="7"/>
  </sheetPr>
  <dimension ref="A1"/>
  <sheetViews>
    <sheetView workbookViewId="0">
      <selection activeCell="D1" sqref="D1"/>
    </sheetView>
  </sheetViews>
  <sheetFormatPr defaultRowHeight="12" x14ac:dyDescent="0.2"/>
  <sheetData/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03BB9-A043-4451-B63C-0C36D47E1D36}">
  <dimension ref="B1:N48"/>
  <sheetViews>
    <sheetView showGridLines="0" workbookViewId="0">
      <selection activeCell="C1" sqref="C1"/>
    </sheetView>
  </sheetViews>
  <sheetFormatPr defaultColWidth="9.28515625" defaultRowHeight="12" outlineLevelRow="1" x14ac:dyDescent="0.2"/>
  <cols>
    <col min="1" max="1" width="1.7109375" style="1" customWidth="1"/>
    <col min="2" max="2" width="25.28515625" style="1" customWidth="1"/>
    <col min="3" max="14" width="12.140625" style="1" customWidth="1"/>
    <col min="15" max="16384" width="9.28515625" style="1"/>
  </cols>
  <sheetData>
    <row r="1" spans="2:13" ht="16.5" x14ac:dyDescent="0.2">
      <c r="B1" s="25" t="s">
        <v>349</v>
      </c>
      <c r="C1" s="614" t="s">
        <v>0</v>
      </c>
    </row>
    <row r="3" spans="2:13" s="3" customFormat="1" x14ac:dyDescent="0.2">
      <c r="B3" s="2" t="s">
        <v>350</v>
      </c>
    </row>
    <row r="4" spans="2:13" outlineLevel="1" x14ac:dyDescent="0.2">
      <c r="B4" s="4" t="s">
        <v>351</v>
      </c>
    </row>
    <row r="5" spans="2:13" outlineLevel="1" x14ac:dyDescent="0.2">
      <c r="B5" s="131" t="s">
        <v>352</v>
      </c>
      <c r="C5" s="132">
        <v>2016</v>
      </c>
      <c r="D5" s="132">
        <v>2017</v>
      </c>
      <c r="E5" s="132">
        <v>2018</v>
      </c>
      <c r="F5" s="132">
        <v>2019</v>
      </c>
      <c r="G5" s="132">
        <v>2020</v>
      </c>
      <c r="H5" s="133" t="s">
        <v>353</v>
      </c>
    </row>
    <row r="6" spans="2:13" outlineLevel="1" x14ac:dyDescent="0.2">
      <c r="B6" s="127" t="s">
        <v>354</v>
      </c>
      <c r="C6" s="11">
        <v>2558</v>
      </c>
      <c r="D6" s="11">
        <v>2565</v>
      </c>
      <c r="E6" s="11">
        <v>2570</v>
      </c>
      <c r="F6" s="11">
        <v>2497</v>
      </c>
      <c r="G6" s="11">
        <v>2670</v>
      </c>
      <c r="H6" s="128">
        <v>1.0999999999999999E-2</v>
      </c>
    </row>
    <row r="7" spans="2:13" outlineLevel="1" x14ac:dyDescent="0.2">
      <c r="B7" s="129" t="s">
        <v>355</v>
      </c>
      <c r="C7" s="14">
        <v>5127</v>
      </c>
      <c r="D7" s="14">
        <v>5734</v>
      </c>
      <c r="E7" s="14">
        <v>5811</v>
      </c>
      <c r="F7" s="14">
        <v>5964</v>
      </c>
      <c r="G7" s="14">
        <v>6213</v>
      </c>
      <c r="H7" s="130">
        <v>4.9000000000000002E-2</v>
      </c>
    </row>
    <row r="9" spans="2:13" s="3" customFormat="1" x14ac:dyDescent="0.2">
      <c r="B9" s="2" t="s">
        <v>356</v>
      </c>
    </row>
    <row r="10" spans="2:13" outlineLevel="1" x14ac:dyDescent="0.2">
      <c r="B10" s="4" t="s">
        <v>357</v>
      </c>
    </row>
    <row r="11" spans="2:13" outlineLevel="1" x14ac:dyDescent="0.2">
      <c r="B11" s="131" t="s">
        <v>358</v>
      </c>
      <c r="C11" s="132">
        <v>2015</v>
      </c>
      <c r="D11" s="132">
        <v>2016</v>
      </c>
      <c r="E11" s="132">
        <v>2017</v>
      </c>
      <c r="F11" s="132">
        <v>2018</v>
      </c>
      <c r="G11" s="132">
        <v>2019</v>
      </c>
      <c r="H11" s="132" t="s">
        <v>359</v>
      </c>
      <c r="I11" s="132" t="s">
        <v>360</v>
      </c>
      <c r="J11" s="132" t="s">
        <v>361</v>
      </c>
      <c r="K11" s="132" t="s">
        <v>362</v>
      </c>
      <c r="L11" s="132" t="s">
        <v>363</v>
      </c>
      <c r="M11" s="133" t="s">
        <v>364</v>
      </c>
    </row>
    <row r="12" spans="2:13" outlineLevel="1" x14ac:dyDescent="0.2">
      <c r="B12" s="27" t="s">
        <v>365</v>
      </c>
      <c r="C12" s="11">
        <v>2530</v>
      </c>
      <c r="D12" s="11">
        <v>2558</v>
      </c>
      <c r="E12" s="11">
        <v>2565</v>
      </c>
      <c r="F12" s="11">
        <v>2570</v>
      </c>
      <c r="G12" s="11">
        <v>2497</v>
      </c>
      <c r="H12" s="11">
        <v>2670</v>
      </c>
      <c r="I12" s="11">
        <v>2795</v>
      </c>
      <c r="J12" s="11">
        <v>2871</v>
      </c>
      <c r="K12" s="11">
        <v>2914</v>
      </c>
      <c r="L12" s="11">
        <v>2930</v>
      </c>
      <c r="M12" s="12">
        <v>2959</v>
      </c>
    </row>
    <row r="13" spans="2:13" outlineLevel="1" x14ac:dyDescent="0.2">
      <c r="B13" s="27" t="s">
        <v>366</v>
      </c>
      <c r="C13" s="9">
        <v>4</v>
      </c>
      <c r="D13" s="9">
        <v>6</v>
      </c>
      <c r="E13" s="9">
        <v>13</v>
      </c>
      <c r="F13" s="9">
        <v>17</v>
      </c>
      <c r="G13" s="9">
        <v>24</v>
      </c>
      <c r="H13" s="9">
        <v>40</v>
      </c>
      <c r="I13" s="9">
        <v>67</v>
      </c>
      <c r="J13" s="9">
        <v>106</v>
      </c>
      <c r="K13" s="9">
        <v>154</v>
      </c>
      <c r="L13" s="9">
        <v>210</v>
      </c>
      <c r="M13" s="10">
        <v>266</v>
      </c>
    </row>
    <row r="14" spans="2:13" outlineLevel="1" x14ac:dyDescent="0.2">
      <c r="B14" s="27" t="s">
        <v>367</v>
      </c>
      <c r="C14" s="134">
        <v>0</v>
      </c>
      <c r="D14" s="134">
        <v>0</v>
      </c>
      <c r="E14" s="134">
        <v>0</v>
      </c>
      <c r="F14" s="134">
        <v>0.01</v>
      </c>
      <c r="G14" s="135">
        <v>0.01</v>
      </c>
      <c r="H14" s="134">
        <v>0.02</v>
      </c>
      <c r="I14" s="134">
        <v>0.02</v>
      </c>
      <c r="J14" s="134">
        <v>0.04</v>
      </c>
      <c r="K14" s="134">
        <v>0.05</v>
      </c>
      <c r="L14" s="134">
        <v>7.0000000000000007E-2</v>
      </c>
      <c r="M14" s="136">
        <v>0.09</v>
      </c>
    </row>
    <row r="15" spans="2:13" outlineLevel="1" x14ac:dyDescent="0.2">
      <c r="B15" s="27" t="s">
        <v>368</v>
      </c>
      <c r="C15" s="11">
        <v>2526</v>
      </c>
      <c r="D15" s="11">
        <v>2552</v>
      </c>
      <c r="E15" s="11">
        <v>2553</v>
      </c>
      <c r="F15" s="11">
        <v>2554</v>
      </c>
      <c r="G15" s="11">
        <v>2473</v>
      </c>
      <c r="H15" s="11">
        <v>2629</v>
      </c>
      <c r="I15" s="11">
        <v>2728</v>
      </c>
      <c r="J15" s="11">
        <v>2765</v>
      </c>
      <c r="K15" s="11">
        <v>2760</v>
      </c>
      <c r="L15" s="11">
        <v>2719</v>
      </c>
      <c r="M15" s="12">
        <v>2693</v>
      </c>
    </row>
    <row r="16" spans="2:13" outlineLevel="1" x14ac:dyDescent="0.2">
      <c r="B16" s="137" t="s">
        <v>369</v>
      </c>
      <c r="C16" s="138">
        <v>1</v>
      </c>
      <c r="D16" s="138">
        <v>1</v>
      </c>
      <c r="E16" s="138">
        <v>1</v>
      </c>
      <c r="F16" s="138">
        <v>0.99</v>
      </c>
      <c r="G16" s="138">
        <v>0.99</v>
      </c>
      <c r="H16" s="138">
        <v>0.98</v>
      </c>
      <c r="I16" s="138">
        <v>0.98</v>
      </c>
      <c r="J16" s="138">
        <v>0.96</v>
      </c>
      <c r="K16" s="138">
        <v>0.95</v>
      </c>
      <c r="L16" s="138">
        <v>0.93</v>
      </c>
      <c r="M16" s="139">
        <v>0.91</v>
      </c>
    </row>
    <row r="18" spans="2:13" s="3" customFormat="1" x14ac:dyDescent="0.2">
      <c r="B18" s="2" t="s">
        <v>370</v>
      </c>
    </row>
    <row r="19" spans="2:13" outlineLevel="1" x14ac:dyDescent="0.2">
      <c r="B19" s="4" t="s">
        <v>371</v>
      </c>
    </row>
    <row r="20" spans="2:13" outlineLevel="1" x14ac:dyDescent="0.2">
      <c r="B20" s="140" t="s">
        <v>352</v>
      </c>
      <c r="C20" s="141">
        <v>2018</v>
      </c>
      <c r="D20" s="141">
        <v>2019</v>
      </c>
      <c r="E20" s="141">
        <v>2020</v>
      </c>
      <c r="F20" s="142" t="s">
        <v>306</v>
      </c>
    </row>
    <row r="21" spans="2:13" outlineLevel="1" x14ac:dyDescent="0.2">
      <c r="B21" s="143" t="s">
        <v>372</v>
      </c>
      <c r="C21" s="144">
        <v>3770107</v>
      </c>
      <c r="D21" s="144">
        <v>3695171</v>
      </c>
      <c r="E21" s="144">
        <v>3952820</v>
      </c>
      <c r="F21" s="145">
        <v>2019139</v>
      </c>
    </row>
    <row r="22" spans="2:13" outlineLevel="1" x14ac:dyDescent="0.2">
      <c r="B22" s="127" t="s">
        <v>373</v>
      </c>
      <c r="C22" s="11">
        <v>2335818</v>
      </c>
      <c r="D22" s="11">
        <v>2314853</v>
      </c>
      <c r="E22" s="11">
        <v>2489470</v>
      </c>
      <c r="F22" s="12">
        <v>1303961</v>
      </c>
    </row>
    <row r="23" spans="2:13" outlineLevel="1" x14ac:dyDescent="0.2">
      <c r="B23" s="127" t="s">
        <v>374</v>
      </c>
      <c r="C23" s="11">
        <v>1357753</v>
      </c>
      <c r="D23" s="11">
        <v>1299280</v>
      </c>
      <c r="E23" s="11">
        <v>1384834</v>
      </c>
      <c r="F23" s="12">
        <v>679061</v>
      </c>
    </row>
    <row r="24" spans="2:13" outlineLevel="1" x14ac:dyDescent="0.2">
      <c r="B24" s="127" t="s">
        <v>375</v>
      </c>
      <c r="C24" s="11">
        <v>3997</v>
      </c>
      <c r="D24" s="11">
        <v>5938</v>
      </c>
      <c r="E24" s="11">
        <v>6267</v>
      </c>
      <c r="F24" s="12">
        <v>2607</v>
      </c>
    </row>
    <row r="25" spans="2:13" outlineLevel="1" x14ac:dyDescent="0.2">
      <c r="B25" s="127" t="s">
        <v>376</v>
      </c>
      <c r="C25" s="11">
        <v>51835</v>
      </c>
      <c r="D25" s="11">
        <v>51718</v>
      </c>
      <c r="E25" s="11">
        <v>51234</v>
      </c>
      <c r="F25" s="12">
        <v>25872</v>
      </c>
    </row>
    <row r="26" spans="2:13" outlineLevel="1" x14ac:dyDescent="0.2">
      <c r="B26" s="127" t="s">
        <v>377</v>
      </c>
      <c r="C26" s="11">
        <v>14727</v>
      </c>
      <c r="D26" s="11">
        <v>15982</v>
      </c>
      <c r="E26" s="11">
        <v>14842</v>
      </c>
      <c r="F26" s="12">
        <v>5085</v>
      </c>
    </row>
    <row r="27" spans="2:13" outlineLevel="1" x14ac:dyDescent="0.2">
      <c r="B27" s="129" t="s">
        <v>184</v>
      </c>
      <c r="C27" s="14">
        <v>5977</v>
      </c>
      <c r="D27" s="14">
        <v>7400</v>
      </c>
      <c r="E27" s="14">
        <v>6173</v>
      </c>
      <c r="F27" s="15">
        <v>2553</v>
      </c>
    </row>
    <row r="29" spans="2:13" s="3" customFormat="1" x14ac:dyDescent="0.2">
      <c r="B29" s="2" t="s">
        <v>378</v>
      </c>
    </row>
    <row r="30" spans="2:13" outlineLevel="1" x14ac:dyDescent="0.2">
      <c r="B30" s="4" t="s">
        <v>379</v>
      </c>
    </row>
    <row r="31" spans="2:13" outlineLevel="1" x14ac:dyDescent="0.2">
      <c r="B31" s="140" t="s">
        <v>352</v>
      </c>
      <c r="C31" s="141">
        <v>2015</v>
      </c>
      <c r="D31" s="141">
        <v>2016</v>
      </c>
      <c r="E31" s="141">
        <v>2017</v>
      </c>
      <c r="F31" s="141">
        <v>2018</v>
      </c>
      <c r="G31" s="141">
        <v>2019</v>
      </c>
      <c r="H31" s="141" t="s">
        <v>359</v>
      </c>
      <c r="I31" s="141" t="s">
        <v>360</v>
      </c>
      <c r="J31" s="141" t="s">
        <v>361</v>
      </c>
      <c r="K31" s="141" t="s">
        <v>362</v>
      </c>
      <c r="L31" s="141" t="s">
        <v>363</v>
      </c>
      <c r="M31" s="142" t="s">
        <v>364</v>
      </c>
    </row>
    <row r="32" spans="2:13" outlineLevel="1" x14ac:dyDescent="0.2">
      <c r="B32" s="146" t="s">
        <v>380</v>
      </c>
      <c r="C32" s="144">
        <v>2530</v>
      </c>
      <c r="D32" s="144">
        <v>2558</v>
      </c>
      <c r="E32" s="144">
        <v>2565</v>
      </c>
      <c r="F32" s="144">
        <v>2570</v>
      </c>
      <c r="G32" s="144">
        <v>2497</v>
      </c>
      <c r="H32" s="144">
        <v>2670</v>
      </c>
      <c r="I32" s="144">
        <v>2795</v>
      </c>
      <c r="J32" s="144">
        <v>2871</v>
      </c>
      <c r="K32" s="144">
        <v>2914</v>
      </c>
      <c r="L32" s="144">
        <v>2930</v>
      </c>
      <c r="M32" s="145">
        <v>2959</v>
      </c>
    </row>
    <row r="33" spans="2:14" outlineLevel="1" x14ac:dyDescent="0.2">
      <c r="B33" s="27" t="s">
        <v>381</v>
      </c>
      <c r="C33" s="9">
        <v>998</v>
      </c>
      <c r="D33" s="11">
        <v>1035</v>
      </c>
      <c r="E33" s="11">
        <v>1017</v>
      </c>
      <c r="F33" s="11">
        <v>1039</v>
      </c>
      <c r="G33" s="11">
        <v>1045</v>
      </c>
      <c r="H33" s="11">
        <v>1107</v>
      </c>
      <c r="I33" s="11">
        <v>1136</v>
      </c>
      <c r="J33" s="11">
        <v>1167</v>
      </c>
      <c r="K33" s="11">
        <v>1199</v>
      </c>
      <c r="L33" s="11">
        <v>1233</v>
      </c>
      <c r="M33" s="12">
        <v>1269</v>
      </c>
    </row>
    <row r="34" spans="2:14" outlineLevel="1" x14ac:dyDescent="0.2">
      <c r="B34" s="27" t="s">
        <v>382</v>
      </c>
      <c r="C34" s="11">
        <v>1393</v>
      </c>
      <c r="D34" s="11">
        <v>1369</v>
      </c>
      <c r="E34" s="11">
        <v>1384</v>
      </c>
      <c r="F34" s="11">
        <v>1352</v>
      </c>
      <c r="G34" s="11">
        <v>1294</v>
      </c>
      <c r="H34" s="11">
        <v>1376</v>
      </c>
      <c r="I34" s="11">
        <v>1390</v>
      </c>
      <c r="J34" s="11">
        <v>1403</v>
      </c>
      <c r="K34" s="11">
        <v>1417</v>
      </c>
      <c r="L34" s="11">
        <v>1432</v>
      </c>
      <c r="M34" s="12">
        <v>1446</v>
      </c>
    </row>
    <row r="35" spans="2:14" outlineLevel="1" x14ac:dyDescent="0.2">
      <c r="B35" s="137" t="s">
        <v>383</v>
      </c>
      <c r="C35" s="22">
        <v>138</v>
      </c>
      <c r="D35" s="22">
        <v>153</v>
      </c>
      <c r="E35" s="22">
        <v>163</v>
      </c>
      <c r="F35" s="22">
        <v>179</v>
      </c>
      <c r="G35" s="22">
        <v>157</v>
      </c>
      <c r="H35" s="22">
        <v>187</v>
      </c>
      <c r="I35" s="22">
        <v>269</v>
      </c>
      <c r="J35" s="22">
        <v>301</v>
      </c>
      <c r="K35" s="22">
        <v>298</v>
      </c>
      <c r="L35" s="22">
        <v>265</v>
      </c>
      <c r="M35" s="23">
        <v>244</v>
      </c>
    </row>
    <row r="37" spans="2:14" s="3" customFormat="1" x14ac:dyDescent="0.2">
      <c r="B37" s="2" t="s">
        <v>384</v>
      </c>
    </row>
    <row r="38" spans="2:14" outlineLevel="1" x14ac:dyDescent="0.2">
      <c r="B38" s="4" t="s">
        <v>385</v>
      </c>
    </row>
    <row r="39" spans="2:14" outlineLevel="1" x14ac:dyDescent="0.2">
      <c r="B39" s="147"/>
      <c r="C39" s="147">
        <v>2015</v>
      </c>
      <c r="D39" s="147">
        <v>2016</v>
      </c>
      <c r="E39" s="147">
        <v>2017</v>
      </c>
      <c r="F39" s="147">
        <v>2018</v>
      </c>
      <c r="G39" s="147">
        <v>2019</v>
      </c>
      <c r="H39" s="147" t="s">
        <v>359</v>
      </c>
      <c r="I39" s="147" t="s">
        <v>360</v>
      </c>
      <c r="J39" s="147" t="s">
        <v>361</v>
      </c>
      <c r="K39" s="147" t="s">
        <v>362</v>
      </c>
      <c r="L39" s="147" t="s">
        <v>363</v>
      </c>
      <c r="M39" s="147" t="s">
        <v>364</v>
      </c>
    </row>
    <row r="40" spans="2:14" outlineLevel="1" x14ac:dyDescent="0.2">
      <c r="B40" s="38" t="s">
        <v>386</v>
      </c>
      <c r="C40" s="149">
        <f>C13*1000</f>
        <v>4000</v>
      </c>
      <c r="D40" s="149">
        <f t="shared" ref="D40:M40" si="0">D13*1000</f>
        <v>6000</v>
      </c>
      <c r="E40" s="149">
        <f t="shared" si="0"/>
        <v>13000</v>
      </c>
      <c r="F40" s="149">
        <f t="shared" si="0"/>
        <v>17000</v>
      </c>
      <c r="G40" s="149">
        <f t="shared" si="0"/>
        <v>24000</v>
      </c>
      <c r="H40" s="149">
        <f t="shared" si="0"/>
        <v>40000</v>
      </c>
      <c r="I40" s="149">
        <f t="shared" si="0"/>
        <v>67000</v>
      </c>
      <c r="J40" s="149">
        <f t="shared" si="0"/>
        <v>106000</v>
      </c>
      <c r="K40" s="149">
        <f t="shared" si="0"/>
        <v>154000</v>
      </c>
      <c r="L40" s="149">
        <f t="shared" si="0"/>
        <v>210000</v>
      </c>
      <c r="M40" s="149">
        <f t="shared" si="0"/>
        <v>266000</v>
      </c>
    </row>
    <row r="41" spans="2:14" outlineLevel="1" x14ac:dyDescent="0.2">
      <c r="B41" s="154" t="s">
        <v>387</v>
      </c>
      <c r="C41" s="149"/>
      <c r="D41" s="155">
        <f>D40/C40-1</f>
        <v>0.5</v>
      </c>
      <c r="E41" s="155">
        <f t="shared" ref="E41:M41" si="1">E40/D40-1</f>
        <v>1.1666666666666665</v>
      </c>
      <c r="F41" s="155">
        <f t="shared" si="1"/>
        <v>0.30769230769230771</v>
      </c>
      <c r="G41" s="155">
        <f t="shared" si="1"/>
        <v>0.41176470588235303</v>
      </c>
      <c r="H41" s="155">
        <f t="shared" si="1"/>
        <v>0.66666666666666674</v>
      </c>
      <c r="I41" s="155">
        <f t="shared" si="1"/>
        <v>0.67500000000000004</v>
      </c>
      <c r="J41" s="155">
        <f t="shared" si="1"/>
        <v>0.58208955223880587</v>
      </c>
      <c r="K41" s="155">
        <f t="shared" si="1"/>
        <v>0.45283018867924518</v>
      </c>
      <c r="L41" s="155">
        <f t="shared" si="1"/>
        <v>0.36363636363636354</v>
      </c>
      <c r="M41" s="155">
        <f t="shared" si="1"/>
        <v>0.26666666666666661</v>
      </c>
    </row>
    <row r="42" spans="2:14" outlineLevel="1" x14ac:dyDescent="0.2">
      <c r="B42" s="38" t="s">
        <v>204</v>
      </c>
      <c r="C42" s="153"/>
      <c r="D42" s="153"/>
      <c r="E42" s="153"/>
      <c r="F42" s="150">
        <f>'Dart_중고차 Sales'!J13</f>
        <v>12700</v>
      </c>
      <c r="G42" s="150">
        <f>'Dart_중고차 Sales'!K13</f>
        <v>22554</v>
      </c>
      <c r="H42" s="150">
        <f>'Dart_중고차 Sales'!L13</f>
        <v>31274</v>
      </c>
      <c r="I42" s="150">
        <f>'Dart_중고차 Sales'!M13*2</f>
        <v>45840</v>
      </c>
      <c r="J42" s="153"/>
      <c r="K42" s="153"/>
      <c r="L42" s="153"/>
      <c r="M42" s="153"/>
    </row>
    <row r="43" spans="2:14" outlineLevel="1" x14ac:dyDescent="0.2">
      <c r="B43" s="38" t="s">
        <v>388</v>
      </c>
      <c r="C43" s="153"/>
      <c r="D43" s="153"/>
      <c r="E43" s="153"/>
      <c r="F43" s="151">
        <f>F42/F40</f>
        <v>0.74705882352941178</v>
      </c>
      <c r="G43" s="151">
        <f>G42/G40</f>
        <v>0.93974999999999997</v>
      </c>
      <c r="H43" s="151">
        <f>H42/H40</f>
        <v>0.78185000000000004</v>
      </c>
      <c r="I43" s="151">
        <f>I42/I40</f>
        <v>0.68417910447761199</v>
      </c>
      <c r="J43" s="153"/>
      <c r="K43" s="153"/>
      <c r="L43" s="153"/>
      <c r="M43" s="153"/>
    </row>
    <row r="44" spans="2:14" outlineLevel="1" x14ac:dyDescent="0.2">
      <c r="B44" s="147"/>
      <c r="C44" s="147">
        <v>2015</v>
      </c>
      <c r="D44" s="147">
        <v>2016</v>
      </c>
      <c r="E44" s="147">
        <v>2017</v>
      </c>
      <c r="F44" s="147">
        <v>2018</v>
      </c>
      <c r="G44" s="147">
        <v>2019</v>
      </c>
      <c r="H44" s="147" t="s">
        <v>359</v>
      </c>
      <c r="I44" s="147" t="s">
        <v>360</v>
      </c>
      <c r="J44" s="147" t="s">
        <v>361</v>
      </c>
      <c r="K44" s="147" t="s">
        <v>362</v>
      </c>
      <c r="L44" s="147" t="s">
        <v>363</v>
      </c>
      <c r="M44" s="147" t="s">
        <v>364</v>
      </c>
    </row>
    <row r="45" spans="2:14" outlineLevel="1" x14ac:dyDescent="0.2">
      <c r="B45" s="38" t="s">
        <v>389</v>
      </c>
      <c r="C45" s="149">
        <f t="shared" ref="C45:M45" si="2">C15*1000</f>
        <v>2526000</v>
      </c>
      <c r="D45" s="149">
        <f t="shared" si="2"/>
        <v>2552000</v>
      </c>
      <c r="E45" s="149">
        <f t="shared" si="2"/>
        <v>2553000</v>
      </c>
      <c r="F45" s="149">
        <f t="shared" si="2"/>
        <v>2554000</v>
      </c>
      <c r="G45" s="149">
        <f t="shared" si="2"/>
        <v>2473000</v>
      </c>
      <c r="H45" s="149">
        <f t="shared" si="2"/>
        <v>2629000</v>
      </c>
      <c r="I45" s="149">
        <f t="shared" si="2"/>
        <v>2728000</v>
      </c>
      <c r="J45" s="149">
        <f t="shared" si="2"/>
        <v>2765000</v>
      </c>
      <c r="K45" s="149">
        <f t="shared" si="2"/>
        <v>2760000</v>
      </c>
      <c r="L45" s="149">
        <f t="shared" si="2"/>
        <v>2719000</v>
      </c>
      <c r="M45" s="149">
        <f t="shared" si="2"/>
        <v>2693000</v>
      </c>
    </row>
    <row r="46" spans="2:14" outlineLevel="1" x14ac:dyDescent="0.2">
      <c r="B46" s="154" t="s">
        <v>390</v>
      </c>
      <c r="C46" s="149"/>
      <c r="D46" s="155">
        <f>D45/C45-1</f>
        <v>1.0292953285827355E-2</v>
      </c>
      <c r="E46" s="155">
        <f t="shared" ref="E46" si="3">E45/D45-1</f>
        <v>3.9184952978055243E-4</v>
      </c>
      <c r="F46" s="155">
        <f t="shared" ref="F46" si="4">F45/E45-1</f>
        <v>3.9169604386990464E-4</v>
      </c>
      <c r="G46" s="155">
        <f t="shared" ref="G46" si="5">G45/F45-1</f>
        <v>-3.1714956930305349E-2</v>
      </c>
      <c r="H46" s="155">
        <f t="shared" ref="H46" si="6">H45/G45-1</f>
        <v>6.308127780024253E-2</v>
      </c>
      <c r="I46" s="155">
        <f t="shared" ref="I46" si="7">I45/H45-1</f>
        <v>3.7656903765690419E-2</v>
      </c>
      <c r="J46" s="155">
        <f t="shared" ref="J46" si="8">J45/I45-1</f>
        <v>1.3563049853372533E-2</v>
      </c>
      <c r="K46" s="155">
        <f t="shared" ref="K46" si="9">K45/J45-1</f>
        <v>-1.8083182640145079E-3</v>
      </c>
      <c r="L46" s="155">
        <f t="shared" ref="L46" si="10">L45/K45-1</f>
        <v>-1.485507246376816E-2</v>
      </c>
      <c r="M46" s="155">
        <f t="shared" ref="M46" si="11">M45/L45-1</f>
        <v>-9.562339095255612E-3</v>
      </c>
    </row>
    <row r="47" spans="2:14" outlineLevel="1" x14ac:dyDescent="0.2">
      <c r="B47" s="148" t="s">
        <v>391</v>
      </c>
      <c r="C47" s="153"/>
      <c r="D47" s="153"/>
      <c r="E47" s="153"/>
      <c r="F47" s="150">
        <f>'Dart_중고차 Sales'!J14</f>
        <v>39496</v>
      </c>
      <c r="G47" s="150">
        <f>'Dart_중고차 Sales'!K14</f>
        <v>61774</v>
      </c>
      <c r="H47" s="150">
        <f>'Dart_중고차 Sales'!L14</f>
        <v>58875</v>
      </c>
      <c r="I47" s="150">
        <f>'Dart_중고차 Sales'!M14*2</f>
        <v>63012</v>
      </c>
      <c r="J47" s="153"/>
      <c r="K47" s="153"/>
      <c r="L47" s="153"/>
      <c r="M47" s="153"/>
      <c r="N47" s="55"/>
    </row>
    <row r="48" spans="2:14" outlineLevel="1" x14ac:dyDescent="0.2">
      <c r="B48" s="38" t="s">
        <v>392</v>
      </c>
      <c r="C48" s="153"/>
      <c r="D48" s="153"/>
      <c r="E48" s="153"/>
      <c r="F48" s="152">
        <f>F47/F45</f>
        <v>1.5464369616288175E-2</v>
      </c>
      <c r="G48" s="152">
        <f t="shared" ref="G48:I48" si="12">G47/G45</f>
        <v>2.4979377274565305E-2</v>
      </c>
      <c r="H48" s="152">
        <f t="shared" si="12"/>
        <v>2.2394446557626475E-2</v>
      </c>
      <c r="I48" s="152">
        <f t="shared" si="12"/>
        <v>2.309824046920821E-2</v>
      </c>
      <c r="J48" s="153"/>
      <c r="K48" s="153"/>
      <c r="L48" s="153"/>
      <c r="M48" s="153"/>
    </row>
  </sheetData>
  <phoneticPr fontId="2" type="noConversion"/>
  <hyperlinks>
    <hyperlink ref="C1" location="Index!A1" display="Index!A1" xr:uid="{40783687-EFDE-40E3-946C-FB7ECAF8940A}"/>
  </hyperlink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A8047-DC8F-4135-8F79-16ED1C727A1E}">
  <dimension ref="B1:I158"/>
  <sheetViews>
    <sheetView showGridLines="0" workbookViewId="0">
      <selection activeCell="C1" sqref="C1"/>
    </sheetView>
  </sheetViews>
  <sheetFormatPr defaultColWidth="9.28515625" defaultRowHeight="12" outlineLevelRow="1" x14ac:dyDescent="0.2"/>
  <cols>
    <col min="1" max="1" width="1.7109375" style="1" customWidth="1"/>
    <col min="2" max="2" width="64.140625" style="1" customWidth="1"/>
    <col min="3" max="6" width="20.42578125" style="1" customWidth="1"/>
    <col min="7" max="8" width="9.28515625" style="1"/>
    <col min="9" max="9" width="11" style="1" bestFit="1" customWidth="1"/>
    <col min="10" max="16384" width="9.28515625" style="1"/>
  </cols>
  <sheetData>
    <row r="1" spans="2:6" ht="15" x14ac:dyDescent="0.2">
      <c r="B1" s="25" t="s">
        <v>16</v>
      </c>
      <c r="C1" s="614" t="s">
        <v>0</v>
      </c>
    </row>
    <row r="3" spans="2:6" s="3" customFormat="1" x14ac:dyDescent="0.2">
      <c r="B3" s="2" t="s">
        <v>393</v>
      </c>
    </row>
    <row r="4" spans="2:6" hidden="1" outlineLevel="1" x14ac:dyDescent="0.2">
      <c r="B4" s="4" t="s">
        <v>394</v>
      </c>
    </row>
    <row r="5" spans="2:6" hidden="1" outlineLevel="1" x14ac:dyDescent="0.2">
      <c r="B5" s="5" t="s">
        <v>395</v>
      </c>
      <c r="C5" s="7" t="s">
        <v>396</v>
      </c>
      <c r="D5" s="6" t="s">
        <v>397</v>
      </c>
      <c r="E5" s="6" t="s">
        <v>398</v>
      </c>
      <c r="F5" s="6" t="s">
        <v>399</v>
      </c>
    </row>
    <row r="6" spans="2:6" hidden="1" outlineLevel="1" x14ac:dyDescent="0.2">
      <c r="B6" s="8" t="s">
        <v>400</v>
      </c>
      <c r="C6" s="10"/>
      <c r="D6" s="9"/>
      <c r="E6" s="9"/>
      <c r="F6" s="9"/>
    </row>
    <row r="7" spans="2:6" hidden="1" outlineLevel="1" x14ac:dyDescent="0.2">
      <c r="B7" s="8" t="s">
        <v>401</v>
      </c>
      <c r="C7" s="12">
        <v>140084658730</v>
      </c>
      <c r="D7" s="11">
        <v>168521638299</v>
      </c>
      <c r="E7" s="11">
        <v>188905274888</v>
      </c>
      <c r="F7" s="11">
        <v>233528347875</v>
      </c>
    </row>
    <row r="8" spans="2:6" hidden="1" outlineLevel="1" x14ac:dyDescent="0.2">
      <c r="B8" s="8" t="s">
        <v>310</v>
      </c>
      <c r="C8" s="12">
        <v>1036143978</v>
      </c>
      <c r="D8" s="11">
        <v>6804764155</v>
      </c>
      <c r="E8" s="11">
        <v>15534675923</v>
      </c>
      <c r="F8" s="11">
        <v>47077973883</v>
      </c>
    </row>
    <row r="9" spans="2:6" hidden="1" outlineLevel="1" x14ac:dyDescent="0.2">
      <c r="B9" s="8" t="s">
        <v>312</v>
      </c>
      <c r="C9" s="12">
        <v>7325630278</v>
      </c>
      <c r="D9" s="11">
        <v>4038955476</v>
      </c>
      <c r="E9" s="11">
        <v>4665203909</v>
      </c>
      <c r="F9" s="11">
        <v>7961064921</v>
      </c>
    </row>
    <row r="10" spans="2:6" hidden="1" outlineLevel="1" x14ac:dyDescent="0.2">
      <c r="B10" s="8" t="s">
        <v>313</v>
      </c>
      <c r="C10" s="10" t="s">
        <v>402</v>
      </c>
      <c r="D10" s="9" t="s">
        <v>402</v>
      </c>
      <c r="E10" s="9" t="s">
        <v>402</v>
      </c>
      <c r="F10" s="11">
        <v>200000000</v>
      </c>
    </row>
    <row r="11" spans="2:6" hidden="1" outlineLevel="1" x14ac:dyDescent="0.2">
      <c r="B11" s="8" t="s">
        <v>314</v>
      </c>
      <c r="C11" s="12">
        <v>3760000000</v>
      </c>
      <c r="D11" s="11">
        <v>4595000000</v>
      </c>
      <c r="E11" s="11">
        <v>4923000000</v>
      </c>
      <c r="F11" s="11">
        <v>7700197000</v>
      </c>
    </row>
    <row r="12" spans="2:6" hidden="1" outlineLevel="1" x14ac:dyDescent="0.2">
      <c r="B12" s="8" t="s">
        <v>315</v>
      </c>
      <c r="C12" s="12">
        <v>2516744386</v>
      </c>
      <c r="D12" s="11">
        <v>2665187034</v>
      </c>
      <c r="E12" s="11">
        <v>2450487684</v>
      </c>
      <c r="F12" s="11">
        <v>4823825309</v>
      </c>
    </row>
    <row r="13" spans="2:6" hidden="1" outlineLevel="1" x14ac:dyDescent="0.2">
      <c r="B13" s="8" t="s">
        <v>316</v>
      </c>
      <c r="C13" s="12">
        <v>125377110362</v>
      </c>
      <c r="D13" s="11">
        <v>150417731634</v>
      </c>
      <c r="E13" s="11">
        <v>161331907372</v>
      </c>
      <c r="F13" s="11">
        <v>165762874592</v>
      </c>
    </row>
    <row r="14" spans="2:6" hidden="1" outlineLevel="1" x14ac:dyDescent="0.2">
      <c r="B14" s="8" t="s">
        <v>317</v>
      </c>
      <c r="C14" s="12">
        <v>69029726</v>
      </c>
      <c r="D14" s="9" t="s">
        <v>402</v>
      </c>
      <c r="E14" s="9" t="s">
        <v>402</v>
      </c>
      <c r="F14" s="11">
        <v>2412170</v>
      </c>
    </row>
    <row r="15" spans="2:6" hidden="1" outlineLevel="1" x14ac:dyDescent="0.2">
      <c r="B15" s="8" t="s">
        <v>403</v>
      </c>
      <c r="C15" s="12">
        <v>148372913364</v>
      </c>
      <c r="D15" s="11">
        <v>151493088083</v>
      </c>
      <c r="E15" s="11">
        <v>153409183704</v>
      </c>
      <c r="F15" s="11">
        <v>251417333240</v>
      </c>
    </row>
    <row r="16" spans="2:6" hidden="1" outlineLevel="1" x14ac:dyDescent="0.2">
      <c r="B16" s="8" t="s">
        <v>319</v>
      </c>
      <c r="C16" s="12">
        <v>10036381890</v>
      </c>
      <c r="D16" s="11">
        <v>12493769764</v>
      </c>
      <c r="E16" s="11">
        <v>13736777638</v>
      </c>
      <c r="F16" s="11">
        <v>16741147248</v>
      </c>
    </row>
    <row r="17" spans="2:6" hidden="1" outlineLevel="1" x14ac:dyDescent="0.2">
      <c r="B17" s="355" t="s">
        <v>404</v>
      </c>
      <c r="C17" s="145">
        <v>26826660048</v>
      </c>
      <c r="D17" s="144">
        <v>27508006286</v>
      </c>
      <c r="E17" s="144">
        <v>26051592431</v>
      </c>
      <c r="F17" s="144">
        <v>120299112751</v>
      </c>
    </row>
    <row r="18" spans="2:6" hidden="1" outlineLevel="1" x14ac:dyDescent="0.2">
      <c r="B18" s="355" t="s">
        <v>405</v>
      </c>
      <c r="C18" s="145">
        <v>77752174341</v>
      </c>
      <c r="D18" s="144">
        <v>77416231660</v>
      </c>
      <c r="E18" s="144">
        <v>77691221374</v>
      </c>
      <c r="F18" s="144">
        <v>77322184699</v>
      </c>
    </row>
    <row r="19" spans="2:6" hidden="1" outlineLevel="1" x14ac:dyDescent="0.2">
      <c r="B19" s="8" t="s">
        <v>322</v>
      </c>
      <c r="C19" s="12">
        <v>33498327654</v>
      </c>
      <c r="D19" s="11">
        <v>34075080373</v>
      </c>
      <c r="E19" s="11">
        <v>35929592261</v>
      </c>
      <c r="F19" s="11">
        <v>36543898147</v>
      </c>
    </row>
    <row r="20" spans="2:6" hidden="1" outlineLevel="1" x14ac:dyDescent="0.2">
      <c r="B20" s="8" t="s">
        <v>323</v>
      </c>
      <c r="C20" s="12">
        <v>259369431</v>
      </c>
      <c r="D20" s="9" t="s">
        <v>402</v>
      </c>
      <c r="E20" s="9" t="s">
        <v>402</v>
      </c>
      <c r="F20" s="9" t="s">
        <v>402</v>
      </c>
    </row>
    <row r="21" spans="2:6" hidden="1" outlineLevel="1" x14ac:dyDescent="0.2">
      <c r="B21" s="8" t="s">
        <v>324</v>
      </c>
      <c r="C21" s="10" t="s">
        <v>402</v>
      </c>
      <c r="D21" s="9" t="s">
        <v>402</v>
      </c>
      <c r="E21" s="9" t="s">
        <v>402</v>
      </c>
      <c r="F21" s="11">
        <v>510990395</v>
      </c>
    </row>
    <row r="22" spans="2:6" hidden="1" outlineLevel="1" x14ac:dyDescent="0.2">
      <c r="B22" s="8" t="s">
        <v>406</v>
      </c>
      <c r="C22" s="12">
        <v>288457572094</v>
      </c>
      <c r="D22" s="11">
        <v>320014726382</v>
      </c>
      <c r="E22" s="11">
        <v>342314458592</v>
      </c>
      <c r="F22" s="11">
        <v>484945681115</v>
      </c>
    </row>
    <row r="23" spans="2:6" hidden="1" outlineLevel="1" x14ac:dyDescent="0.2">
      <c r="B23" s="8" t="s">
        <v>407</v>
      </c>
      <c r="C23" s="10"/>
      <c r="D23" s="9"/>
      <c r="E23" s="9"/>
      <c r="F23" s="9"/>
    </row>
    <row r="24" spans="2:6" hidden="1" outlineLevel="1" x14ac:dyDescent="0.2">
      <c r="B24" s="8" t="s">
        <v>408</v>
      </c>
      <c r="C24" s="12">
        <v>27609104323</v>
      </c>
      <c r="D24" s="11">
        <v>28586717019</v>
      </c>
      <c r="E24" s="11">
        <v>36675340005</v>
      </c>
      <c r="F24" s="11">
        <v>228406421239</v>
      </c>
    </row>
    <row r="25" spans="2:6" hidden="1" outlineLevel="1" x14ac:dyDescent="0.2">
      <c r="B25" s="8" t="s">
        <v>327</v>
      </c>
      <c r="C25" s="12">
        <v>6251746598</v>
      </c>
      <c r="D25" s="11">
        <v>4267103424</v>
      </c>
      <c r="E25" s="11">
        <v>6132899971</v>
      </c>
      <c r="F25" s="11">
        <v>8997511157</v>
      </c>
    </row>
    <row r="26" spans="2:6" hidden="1" outlineLevel="1" x14ac:dyDescent="0.2">
      <c r="B26" s="8" t="s">
        <v>328</v>
      </c>
      <c r="C26" s="12">
        <v>1568000000</v>
      </c>
      <c r="D26" s="11">
        <v>1761000000</v>
      </c>
      <c r="E26" s="11">
        <v>1934000000</v>
      </c>
      <c r="F26" s="11">
        <v>4685457675</v>
      </c>
    </row>
    <row r="27" spans="2:6" hidden="1" outlineLevel="1" x14ac:dyDescent="0.2">
      <c r="B27" s="8" t="s">
        <v>329</v>
      </c>
      <c r="C27" s="10" t="s">
        <v>402</v>
      </c>
      <c r="D27" s="9" t="s">
        <v>402</v>
      </c>
      <c r="E27" s="9" t="s">
        <v>402</v>
      </c>
      <c r="F27" s="11">
        <v>137633747269</v>
      </c>
    </row>
    <row r="28" spans="2:6" hidden="1" outlineLevel="1" x14ac:dyDescent="0.2">
      <c r="B28" s="8" t="s">
        <v>330</v>
      </c>
      <c r="C28" s="12">
        <v>10380748473</v>
      </c>
      <c r="D28" s="11">
        <v>11695602179</v>
      </c>
      <c r="E28" s="11">
        <v>12641801550</v>
      </c>
      <c r="F28" s="11">
        <v>26550106376</v>
      </c>
    </row>
    <row r="29" spans="2:6" hidden="1" outlineLevel="1" x14ac:dyDescent="0.2">
      <c r="B29" s="8" t="s">
        <v>331</v>
      </c>
      <c r="C29" s="12">
        <v>9408609252</v>
      </c>
      <c r="D29" s="11">
        <v>10457590971</v>
      </c>
      <c r="E29" s="11">
        <v>12180235358</v>
      </c>
      <c r="F29" s="11">
        <v>13467469351</v>
      </c>
    </row>
    <row r="30" spans="2:6" hidden="1" outlineLevel="1" x14ac:dyDescent="0.2">
      <c r="B30" s="8" t="s">
        <v>333</v>
      </c>
      <c r="C30" s="10" t="s">
        <v>402</v>
      </c>
      <c r="D30" s="11">
        <v>405420445</v>
      </c>
      <c r="E30" s="11">
        <v>3786403126</v>
      </c>
      <c r="F30" s="11">
        <v>8663451559</v>
      </c>
    </row>
    <row r="31" spans="2:6" hidden="1" outlineLevel="1" x14ac:dyDescent="0.2">
      <c r="B31" s="8" t="s">
        <v>334</v>
      </c>
      <c r="C31" s="10" t="s">
        <v>402</v>
      </c>
      <c r="D31" s="9" t="s">
        <v>402</v>
      </c>
      <c r="E31" s="9" t="s">
        <v>402</v>
      </c>
      <c r="F31" s="11">
        <v>28390307041</v>
      </c>
    </row>
    <row r="32" spans="2:6" hidden="1" outlineLevel="1" x14ac:dyDescent="0.2">
      <c r="B32" s="8" t="s">
        <v>335</v>
      </c>
      <c r="C32" s="10" t="s">
        <v>402</v>
      </c>
      <c r="D32" s="9" t="s">
        <v>402</v>
      </c>
      <c r="E32" s="9" t="s">
        <v>402</v>
      </c>
      <c r="F32" s="11">
        <v>18370811</v>
      </c>
    </row>
    <row r="33" spans="2:6" hidden="1" outlineLevel="1" x14ac:dyDescent="0.2">
      <c r="B33" s="8" t="s">
        <v>409</v>
      </c>
      <c r="C33" s="12">
        <v>125544070061</v>
      </c>
      <c r="D33" s="11">
        <v>143060200127</v>
      </c>
      <c r="E33" s="11">
        <v>134673235633</v>
      </c>
      <c r="F33" s="11">
        <v>58485346040</v>
      </c>
    </row>
    <row r="34" spans="2:6" hidden="1" outlineLevel="1" x14ac:dyDescent="0.2">
      <c r="B34" s="8" t="s">
        <v>337</v>
      </c>
      <c r="C34" s="12">
        <v>97444275815</v>
      </c>
      <c r="D34" s="11">
        <v>111763081349</v>
      </c>
      <c r="E34" s="11">
        <v>99279187934</v>
      </c>
      <c r="F34" s="11">
        <v>16577777781</v>
      </c>
    </row>
    <row r="35" spans="2:6" hidden="1" outlineLevel="1" x14ac:dyDescent="0.2">
      <c r="B35" s="8" t="s">
        <v>338</v>
      </c>
      <c r="C35" s="12">
        <v>801994999</v>
      </c>
      <c r="D35" s="11">
        <v>1246317029</v>
      </c>
      <c r="E35" s="11">
        <v>1118748764</v>
      </c>
      <c r="F35" s="11">
        <v>1544106287</v>
      </c>
    </row>
    <row r="36" spans="2:6" hidden="1" outlineLevel="1" x14ac:dyDescent="0.2">
      <c r="B36" s="8" t="s">
        <v>339</v>
      </c>
      <c r="C36" s="12">
        <v>31800000</v>
      </c>
      <c r="D36" s="11">
        <v>30000000</v>
      </c>
      <c r="E36" s="11">
        <v>30000000</v>
      </c>
      <c r="F36" s="11">
        <v>2746588076</v>
      </c>
    </row>
    <row r="37" spans="2:6" hidden="1" outlineLevel="1" x14ac:dyDescent="0.2">
      <c r="B37" s="8" t="s">
        <v>340</v>
      </c>
      <c r="C37" s="12">
        <v>24358533072</v>
      </c>
      <c r="D37" s="11">
        <v>24556894777</v>
      </c>
      <c r="E37" s="11">
        <v>25229611690</v>
      </c>
      <c r="F37" s="11">
        <v>25248726908</v>
      </c>
    </row>
    <row r="38" spans="2:6" hidden="1" outlineLevel="1" x14ac:dyDescent="0.2">
      <c r="B38" s="8" t="s">
        <v>341</v>
      </c>
      <c r="C38" s="12">
        <v>2907466175</v>
      </c>
      <c r="D38" s="11">
        <v>2169718232</v>
      </c>
      <c r="E38" s="11">
        <v>3280259963</v>
      </c>
      <c r="F38" s="11">
        <v>6604965172</v>
      </c>
    </row>
    <row r="39" spans="2:6" hidden="1" outlineLevel="1" x14ac:dyDescent="0.2">
      <c r="B39" s="8" t="s">
        <v>342</v>
      </c>
      <c r="C39" s="10" t="s">
        <v>402</v>
      </c>
      <c r="D39" s="11">
        <v>3294188740</v>
      </c>
      <c r="E39" s="11">
        <v>5735427282</v>
      </c>
      <c r="F39" s="11">
        <v>5719785088</v>
      </c>
    </row>
    <row r="40" spans="2:6" hidden="1" outlineLevel="1" x14ac:dyDescent="0.2">
      <c r="B40" s="8" t="s">
        <v>343</v>
      </c>
      <c r="C40" s="10" t="s">
        <v>402</v>
      </c>
      <c r="D40" s="9" t="s">
        <v>402</v>
      </c>
      <c r="E40" s="9" t="s">
        <v>402</v>
      </c>
      <c r="F40" s="11">
        <v>43396728</v>
      </c>
    </row>
    <row r="41" spans="2:6" hidden="1" outlineLevel="1" x14ac:dyDescent="0.2">
      <c r="B41" s="8" t="s">
        <v>410</v>
      </c>
      <c r="C41" s="12">
        <v>153153174384</v>
      </c>
      <c r="D41" s="11">
        <v>171646917146</v>
      </c>
      <c r="E41" s="11">
        <v>171348575638</v>
      </c>
      <c r="F41" s="11">
        <v>286891767279</v>
      </c>
    </row>
    <row r="42" spans="2:6" hidden="1" outlineLevel="1" x14ac:dyDescent="0.2">
      <c r="B42" s="8" t="s">
        <v>411</v>
      </c>
      <c r="C42" s="10"/>
      <c r="D42" s="9"/>
      <c r="E42" s="9"/>
      <c r="F42" s="9"/>
    </row>
    <row r="43" spans="2:6" hidden="1" outlineLevel="1" x14ac:dyDescent="0.2">
      <c r="B43" s="8" t="s">
        <v>412</v>
      </c>
      <c r="C43" s="12">
        <v>6675500000</v>
      </c>
      <c r="D43" s="11">
        <v>6675500000</v>
      </c>
      <c r="E43" s="11">
        <v>6675500000</v>
      </c>
      <c r="F43" s="11">
        <v>23442184500</v>
      </c>
    </row>
    <row r="44" spans="2:6" hidden="1" outlineLevel="1" x14ac:dyDescent="0.2">
      <c r="B44" s="8" t="s">
        <v>413</v>
      </c>
      <c r="C44" s="12">
        <v>126738380000</v>
      </c>
      <c r="D44" s="11">
        <v>126738380000</v>
      </c>
      <c r="E44" s="11">
        <v>26738380000</v>
      </c>
      <c r="F44" s="11">
        <v>44181239746</v>
      </c>
    </row>
    <row r="45" spans="2:6" hidden="1" outlineLevel="1" x14ac:dyDescent="0.2">
      <c r="B45" s="8" t="s">
        <v>414</v>
      </c>
      <c r="C45" s="10" t="s">
        <v>402</v>
      </c>
      <c r="D45" s="9" t="s">
        <v>402</v>
      </c>
      <c r="E45" s="9" t="s">
        <v>402</v>
      </c>
      <c r="F45" s="11">
        <v>2311320356</v>
      </c>
    </row>
    <row r="46" spans="2:6" hidden="1" outlineLevel="1" x14ac:dyDescent="0.2">
      <c r="B46" s="8" t="s">
        <v>415</v>
      </c>
      <c r="C46" s="12">
        <v>1890517710</v>
      </c>
      <c r="D46" s="11">
        <v>14953929236</v>
      </c>
      <c r="E46" s="11">
        <v>137552002954</v>
      </c>
      <c r="F46" s="11">
        <v>128119169234</v>
      </c>
    </row>
    <row r="47" spans="2:6" hidden="1" outlineLevel="1" x14ac:dyDescent="0.2">
      <c r="B47" s="8" t="s">
        <v>416</v>
      </c>
      <c r="C47" s="12">
        <v>135304397710</v>
      </c>
      <c r="D47" s="11">
        <v>148367809236</v>
      </c>
      <c r="E47" s="11">
        <v>170965882954</v>
      </c>
      <c r="F47" s="11">
        <v>198053913836</v>
      </c>
    </row>
    <row r="48" spans="2:6" hidden="1" outlineLevel="1" x14ac:dyDescent="0.2">
      <c r="B48" s="13" t="s">
        <v>417</v>
      </c>
      <c r="C48" s="15">
        <v>288457572094</v>
      </c>
      <c r="D48" s="14">
        <v>320014726382</v>
      </c>
      <c r="E48" s="14">
        <v>342314458592</v>
      </c>
      <c r="F48" s="14">
        <v>484945681115</v>
      </c>
    </row>
    <row r="49" spans="2:6" collapsed="1" x14ac:dyDescent="0.2"/>
    <row r="50" spans="2:6" s="3" customFormat="1" x14ac:dyDescent="0.2">
      <c r="B50" s="2" t="s">
        <v>418</v>
      </c>
    </row>
    <row r="51" spans="2:6" outlineLevel="1" x14ac:dyDescent="0.2">
      <c r="B51" s="4" t="s">
        <v>394</v>
      </c>
    </row>
    <row r="52" spans="2:6" outlineLevel="1" x14ac:dyDescent="0.2">
      <c r="B52" s="5" t="s">
        <v>419</v>
      </c>
      <c r="C52" s="7" t="s">
        <v>420</v>
      </c>
      <c r="D52" s="6" t="s">
        <v>397</v>
      </c>
      <c r="E52" s="6" t="s">
        <v>398</v>
      </c>
      <c r="F52" s="6" t="s">
        <v>399</v>
      </c>
    </row>
    <row r="53" spans="2:6" outlineLevel="1" x14ac:dyDescent="0.2">
      <c r="B53" s="8" t="s">
        <v>421</v>
      </c>
      <c r="C53" s="12">
        <v>742803120095</v>
      </c>
      <c r="D53" s="11">
        <v>1185355254882</v>
      </c>
      <c r="E53" s="11">
        <v>1323113771001</v>
      </c>
      <c r="F53" s="11">
        <v>910583602776</v>
      </c>
    </row>
    <row r="54" spans="2:6" outlineLevel="1" x14ac:dyDescent="0.2">
      <c r="B54" s="8" t="s">
        <v>422</v>
      </c>
      <c r="C54" s="12">
        <v>670019632815</v>
      </c>
      <c r="D54" s="11">
        <v>1062154024596</v>
      </c>
      <c r="E54" s="11">
        <v>1179322430915</v>
      </c>
      <c r="F54" s="11">
        <v>808030708362</v>
      </c>
    </row>
    <row r="55" spans="2:6" outlineLevel="1" x14ac:dyDescent="0.2">
      <c r="B55" s="8" t="s">
        <v>423</v>
      </c>
      <c r="C55" s="12">
        <v>72783487280</v>
      </c>
      <c r="D55" s="11">
        <v>123201230286</v>
      </c>
      <c r="E55" s="11">
        <v>143791340086</v>
      </c>
      <c r="F55" s="11">
        <v>102552894414</v>
      </c>
    </row>
    <row r="56" spans="2:6" outlineLevel="1" x14ac:dyDescent="0.2">
      <c r="B56" s="8" t="s">
        <v>424</v>
      </c>
      <c r="C56" s="12">
        <v>62117629223</v>
      </c>
      <c r="D56" s="11">
        <v>93996787696</v>
      </c>
      <c r="E56" s="11">
        <v>106092958002</v>
      </c>
      <c r="F56" s="11">
        <v>64075316250</v>
      </c>
    </row>
    <row r="57" spans="2:6" outlineLevel="1" x14ac:dyDescent="0.2">
      <c r="B57" s="8" t="s">
        <v>425</v>
      </c>
      <c r="C57" s="12">
        <v>10665858057</v>
      </c>
      <c r="D57" s="11">
        <v>29204442590</v>
      </c>
      <c r="E57" s="11">
        <v>37698382084</v>
      </c>
      <c r="F57" s="11">
        <v>38477578164</v>
      </c>
    </row>
    <row r="58" spans="2:6" outlineLevel="1" x14ac:dyDescent="0.2">
      <c r="B58" s="8" t="s">
        <v>426</v>
      </c>
      <c r="C58" s="12">
        <v>67576328</v>
      </c>
      <c r="D58" s="11">
        <v>227259758</v>
      </c>
      <c r="E58" s="11">
        <v>90981213</v>
      </c>
      <c r="F58" s="11">
        <v>1454843428</v>
      </c>
    </row>
    <row r="59" spans="2:6" outlineLevel="1" x14ac:dyDescent="0.2">
      <c r="B59" s="8" t="s">
        <v>427</v>
      </c>
      <c r="C59" s="12">
        <v>2281645197</v>
      </c>
      <c r="D59" s="11">
        <v>945627210</v>
      </c>
      <c r="E59" s="11">
        <v>324463557</v>
      </c>
      <c r="F59" s="11">
        <v>270017590</v>
      </c>
    </row>
    <row r="60" spans="2:6" outlineLevel="1" x14ac:dyDescent="0.2">
      <c r="B60" s="8" t="s">
        <v>428</v>
      </c>
      <c r="C60" s="12">
        <v>428719373</v>
      </c>
      <c r="D60" s="11">
        <v>447776360</v>
      </c>
      <c r="E60" s="11">
        <v>494176433</v>
      </c>
      <c r="F60" s="11">
        <v>166286309</v>
      </c>
    </row>
    <row r="61" spans="2:6" outlineLevel="1" x14ac:dyDescent="0.2">
      <c r="B61" s="8" t="s">
        <v>429</v>
      </c>
      <c r="C61" s="12">
        <v>5395129662</v>
      </c>
      <c r="D61" s="11">
        <v>9657986740</v>
      </c>
      <c r="E61" s="11">
        <v>6973677086</v>
      </c>
      <c r="F61" s="11">
        <v>4217389038</v>
      </c>
    </row>
    <row r="62" spans="2:6" outlineLevel="1" x14ac:dyDescent="0.2">
      <c r="B62" s="8" t="s">
        <v>430</v>
      </c>
      <c r="C62" s="12">
        <v>3485378899</v>
      </c>
      <c r="D62" s="11">
        <v>19275864758</v>
      </c>
      <c r="E62" s="11">
        <v>30985399087</v>
      </c>
      <c r="F62" s="11">
        <v>35611301273</v>
      </c>
    </row>
    <row r="63" spans="2:6" outlineLevel="1" x14ac:dyDescent="0.2">
      <c r="B63" s="8" t="s">
        <v>431</v>
      </c>
      <c r="C63" s="12">
        <v>800985218</v>
      </c>
      <c r="D63" s="11">
        <v>4498080007</v>
      </c>
      <c r="E63" s="11">
        <v>6855748975</v>
      </c>
      <c r="F63" s="11">
        <v>9067442910</v>
      </c>
    </row>
    <row r="64" spans="2:6" outlineLevel="1" x14ac:dyDescent="0.2">
      <c r="B64" s="8" t="s">
        <v>432</v>
      </c>
      <c r="C64" s="12">
        <v>2684393681</v>
      </c>
      <c r="D64" s="11">
        <v>14777784751</v>
      </c>
      <c r="E64" s="11">
        <v>24129650112</v>
      </c>
      <c r="F64" s="11">
        <v>26543858363</v>
      </c>
    </row>
    <row r="65" spans="2:6" outlineLevel="1" x14ac:dyDescent="0.2">
      <c r="B65" s="8" t="s">
        <v>433</v>
      </c>
      <c r="C65" s="12">
        <v>-793875998</v>
      </c>
      <c r="D65" s="11">
        <v>-1714373225</v>
      </c>
      <c r="E65" s="11">
        <v>-1531576394</v>
      </c>
      <c r="F65" s="11">
        <v>-1264092083</v>
      </c>
    </row>
    <row r="66" spans="2:6" outlineLevel="1" x14ac:dyDescent="0.2">
      <c r="B66" s="16" t="s">
        <v>434</v>
      </c>
      <c r="C66" s="19">
        <v>-793875998</v>
      </c>
      <c r="D66" s="18">
        <v>-1714373225</v>
      </c>
      <c r="E66" s="18">
        <v>-1531576394</v>
      </c>
      <c r="F66" s="17">
        <v>-1264092083</v>
      </c>
    </row>
    <row r="67" spans="2:6" outlineLevel="1" x14ac:dyDescent="0.2">
      <c r="B67" s="8" t="s">
        <v>435</v>
      </c>
      <c r="C67" s="21">
        <v>-793875998</v>
      </c>
      <c r="D67" s="20">
        <v>-1714373225</v>
      </c>
      <c r="E67" s="20">
        <v>-1531576394</v>
      </c>
      <c r="F67" s="11">
        <v>-1264092083</v>
      </c>
    </row>
    <row r="68" spans="2:6" outlineLevel="1" x14ac:dyDescent="0.2">
      <c r="B68" s="8" t="s">
        <v>436</v>
      </c>
      <c r="C68" s="12">
        <v>1890517683</v>
      </c>
      <c r="D68" s="11">
        <v>13063411526</v>
      </c>
      <c r="E68" s="11">
        <v>22598073718</v>
      </c>
      <c r="F68" s="11">
        <v>25279766280</v>
      </c>
    </row>
    <row r="69" spans="2:6" outlineLevel="1" x14ac:dyDescent="0.2">
      <c r="B69" s="8" t="s">
        <v>437</v>
      </c>
      <c r="C69" s="10"/>
      <c r="D69" s="9"/>
      <c r="E69" s="9"/>
      <c r="F69" s="9"/>
    </row>
    <row r="70" spans="2:6" outlineLevel="1" x14ac:dyDescent="0.2">
      <c r="B70" s="8" t="s">
        <v>438</v>
      </c>
      <c r="C70" s="10">
        <v>255</v>
      </c>
      <c r="D70" s="11">
        <v>1107</v>
      </c>
      <c r="E70" s="11">
        <v>1807</v>
      </c>
      <c r="F70" s="9">
        <v>581</v>
      </c>
    </row>
    <row r="71" spans="2:6" outlineLevel="1" x14ac:dyDescent="0.2">
      <c r="B71" s="13" t="s">
        <v>439</v>
      </c>
      <c r="C71" s="23">
        <v>255</v>
      </c>
      <c r="D71" s="14">
        <v>1107</v>
      </c>
      <c r="E71" s="14">
        <v>1807</v>
      </c>
      <c r="F71" s="22">
        <v>581</v>
      </c>
    </row>
    <row r="73" spans="2:6" s="3" customFormat="1" x14ac:dyDescent="0.2">
      <c r="B73" s="2" t="s">
        <v>440</v>
      </c>
    </row>
    <row r="74" spans="2:6" hidden="1" outlineLevel="1" x14ac:dyDescent="0.2">
      <c r="B74" s="4" t="s">
        <v>394</v>
      </c>
    </row>
    <row r="75" spans="2:6" hidden="1" outlineLevel="1" x14ac:dyDescent="0.2">
      <c r="B75" s="24" t="s">
        <v>419</v>
      </c>
      <c r="C75" s="7" t="s">
        <v>396</v>
      </c>
      <c r="D75" s="6" t="s">
        <v>397</v>
      </c>
      <c r="E75" s="6" t="s">
        <v>398</v>
      </c>
      <c r="F75" s="6" t="s">
        <v>399</v>
      </c>
    </row>
    <row r="76" spans="2:6" hidden="1" outlineLevel="1" x14ac:dyDescent="0.2">
      <c r="B76" s="8" t="s">
        <v>441</v>
      </c>
      <c r="C76" s="12">
        <v>-6292014452</v>
      </c>
      <c r="D76" s="11">
        <v>6365303157</v>
      </c>
      <c r="E76" s="11">
        <v>33469617211</v>
      </c>
      <c r="F76" s="11">
        <v>44920482945</v>
      </c>
    </row>
    <row r="77" spans="2:6" hidden="1" outlineLevel="1" x14ac:dyDescent="0.2">
      <c r="B77" s="8" t="s">
        <v>442</v>
      </c>
      <c r="C77" s="12">
        <v>-1097756709</v>
      </c>
      <c r="D77" s="11">
        <v>13494809717</v>
      </c>
      <c r="E77" s="11">
        <v>40366044125</v>
      </c>
      <c r="F77" s="11">
        <v>52809639815</v>
      </c>
    </row>
    <row r="78" spans="2:6" hidden="1" outlineLevel="1" x14ac:dyDescent="0.2">
      <c r="B78" s="8" t="s">
        <v>443</v>
      </c>
      <c r="C78" s="12">
        <v>2684393681</v>
      </c>
      <c r="D78" s="11">
        <v>14777784751</v>
      </c>
      <c r="E78" s="11">
        <v>24129650112</v>
      </c>
      <c r="F78" s="11">
        <v>26543858363</v>
      </c>
    </row>
    <row r="79" spans="2:6" hidden="1" outlineLevel="1" x14ac:dyDescent="0.2">
      <c r="B79" s="8" t="s">
        <v>444</v>
      </c>
      <c r="C79" s="12">
        <v>15394472653</v>
      </c>
      <c r="D79" s="11">
        <v>30869133853</v>
      </c>
      <c r="E79" s="11">
        <v>32732273101</v>
      </c>
      <c r="F79" s="11">
        <v>34872897364</v>
      </c>
    </row>
    <row r="80" spans="2:6" hidden="1" outlineLevel="1" x14ac:dyDescent="0.2">
      <c r="B80" s="8" t="s">
        <v>445</v>
      </c>
      <c r="C80" s="12">
        <v>800985218</v>
      </c>
      <c r="D80" s="11">
        <v>4498080007</v>
      </c>
      <c r="E80" s="11">
        <v>6855748975</v>
      </c>
      <c r="F80" s="11">
        <v>9067442910</v>
      </c>
    </row>
    <row r="81" spans="2:9" hidden="1" outlineLevel="1" x14ac:dyDescent="0.2">
      <c r="B81" s="8" t="s">
        <v>446</v>
      </c>
      <c r="C81" s="12">
        <v>1849143724</v>
      </c>
      <c r="D81" s="11">
        <v>3078173160</v>
      </c>
      <c r="E81" s="11">
        <v>3411759510</v>
      </c>
      <c r="F81" s="11">
        <v>2089494521</v>
      </c>
    </row>
    <row r="82" spans="2:9" hidden="1" outlineLevel="1" x14ac:dyDescent="0.2">
      <c r="B82" s="355" t="s">
        <v>447</v>
      </c>
      <c r="C82" s="356">
        <v>6680633571</v>
      </c>
      <c r="D82" s="357">
        <v>12256755057</v>
      </c>
      <c r="E82" s="357">
        <v>14214472395</v>
      </c>
      <c r="F82" s="357">
        <v>18802027766</v>
      </c>
      <c r="I82" s="87">
        <v>-12460955</v>
      </c>
    </row>
    <row r="83" spans="2:9" hidden="1" outlineLevel="1" x14ac:dyDescent="0.2">
      <c r="B83" s="8" t="s">
        <v>448</v>
      </c>
      <c r="C83" s="51">
        <v>0</v>
      </c>
      <c r="D83" s="50">
        <v>0</v>
      </c>
      <c r="E83" s="50">
        <v>0</v>
      </c>
      <c r="F83" s="50">
        <v>0</v>
      </c>
      <c r="I83" s="87">
        <v>-6341073</v>
      </c>
    </row>
    <row r="84" spans="2:9" hidden="1" outlineLevel="1" x14ac:dyDescent="0.2">
      <c r="B84" s="355" t="s">
        <v>449</v>
      </c>
      <c r="C84" s="356">
        <v>751743523</v>
      </c>
      <c r="D84" s="357">
        <v>1280700931</v>
      </c>
      <c r="E84" s="357">
        <v>1659499373</v>
      </c>
      <c r="F84" s="357">
        <v>922288070</v>
      </c>
    </row>
    <row r="85" spans="2:9" hidden="1" outlineLevel="1" x14ac:dyDescent="0.2">
      <c r="B85" s="8" t="s">
        <v>450</v>
      </c>
      <c r="C85" s="51">
        <v>0</v>
      </c>
      <c r="D85" s="50">
        <v>1500000</v>
      </c>
      <c r="E85" s="50">
        <v>6400000</v>
      </c>
      <c r="F85" s="50">
        <v>475670</v>
      </c>
    </row>
    <row r="86" spans="2:9" hidden="1" outlineLevel="1" x14ac:dyDescent="0.2">
      <c r="B86" s="8" t="s">
        <v>451</v>
      </c>
      <c r="C86" s="51">
        <v>0</v>
      </c>
      <c r="D86" s="50">
        <v>0</v>
      </c>
      <c r="E86" s="50">
        <v>0</v>
      </c>
      <c r="F86" s="50">
        <v>-5114158</v>
      </c>
    </row>
    <row r="87" spans="2:9" hidden="1" outlineLevel="1" x14ac:dyDescent="0.2">
      <c r="B87" s="8" t="s">
        <v>452</v>
      </c>
      <c r="C87" s="51">
        <v>15100000</v>
      </c>
      <c r="D87" s="50">
        <v>112893280</v>
      </c>
      <c r="E87" s="50">
        <v>105764158</v>
      </c>
      <c r="F87" s="50">
        <v>4504263</v>
      </c>
    </row>
    <row r="88" spans="2:9" hidden="1" outlineLevel="1" x14ac:dyDescent="0.2">
      <c r="B88" s="8" t="s">
        <v>453</v>
      </c>
      <c r="C88" s="51">
        <v>0</v>
      </c>
      <c r="D88" s="50">
        <v>0</v>
      </c>
      <c r="E88" s="50">
        <v>0</v>
      </c>
      <c r="F88" s="50">
        <v>105503647</v>
      </c>
    </row>
    <row r="89" spans="2:9" hidden="1" outlineLevel="1" x14ac:dyDescent="0.2">
      <c r="B89" s="8" t="s">
        <v>454</v>
      </c>
      <c r="C89" s="51">
        <v>0</v>
      </c>
      <c r="D89" s="50">
        <v>18117273</v>
      </c>
      <c r="E89" s="50">
        <v>13491374</v>
      </c>
      <c r="F89" s="50">
        <v>7491364</v>
      </c>
    </row>
    <row r="90" spans="2:9" hidden="1" outlineLevel="1" x14ac:dyDescent="0.2">
      <c r="B90" s="8" t="s">
        <v>455</v>
      </c>
      <c r="C90" s="51">
        <v>5395129662</v>
      </c>
      <c r="D90" s="50">
        <v>9657986740</v>
      </c>
      <c r="E90" s="50">
        <v>6973677086</v>
      </c>
      <c r="F90" s="50">
        <v>4217389038</v>
      </c>
    </row>
    <row r="91" spans="2:9" hidden="1" outlineLevel="1" x14ac:dyDescent="0.2">
      <c r="B91" s="8" t="s">
        <v>456</v>
      </c>
      <c r="C91" s="51">
        <v>252122236</v>
      </c>
      <c r="D91" s="50">
        <v>501830910</v>
      </c>
      <c r="E91" s="50">
        <v>133991890</v>
      </c>
      <c r="F91" s="50">
        <v>207881573</v>
      </c>
    </row>
    <row r="92" spans="2:9" hidden="1" outlineLevel="1" x14ac:dyDescent="0.2">
      <c r="B92" s="8" t="s">
        <v>457</v>
      </c>
      <c r="C92" s="51">
        <v>428719373</v>
      </c>
      <c r="D92" s="50">
        <v>-447776360</v>
      </c>
      <c r="E92" s="50">
        <v>-494176433</v>
      </c>
      <c r="F92" s="50">
        <v>-166286309</v>
      </c>
    </row>
    <row r="93" spans="2:9" hidden="1" outlineLevel="1" x14ac:dyDescent="0.2">
      <c r="B93" s="8" t="s">
        <v>458</v>
      </c>
      <c r="C93" s="51">
        <v>95869474</v>
      </c>
      <c r="D93" s="50">
        <v>-77374663</v>
      </c>
      <c r="E93" s="50">
        <v>-106810501</v>
      </c>
      <c r="F93" s="50">
        <v>-54017484</v>
      </c>
    </row>
    <row r="94" spans="2:9" hidden="1" outlineLevel="1" x14ac:dyDescent="0.2">
      <c r="B94" s="8" t="s">
        <v>459</v>
      </c>
      <c r="C94" s="51">
        <v>17535382</v>
      </c>
      <c r="D94" s="50">
        <v>-11752482</v>
      </c>
      <c r="E94" s="50">
        <v>-41544726</v>
      </c>
      <c r="F94" s="50">
        <v>-7854245</v>
      </c>
    </row>
    <row r="95" spans="2:9" hidden="1" outlineLevel="1" x14ac:dyDescent="0.2">
      <c r="B95" s="8" t="s">
        <v>460</v>
      </c>
      <c r="C95" s="51" t="s">
        <v>402</v>
      </c>
      <c r="D95" s="50" t="s">
        <v>402</v>
      </c>
      <c r="E95" s="50" t="s">
        <v>402</v>
      </c>
      <c r="F95" s="50">
        <v>-1215650925</v>
      </c>
    </row>
    <row r="96" spans="2:9" hidden="1" outlineLevel="1" x14ac:dyDescent="0.2">
      <c r="B96" s="8" t="s">
        <v>461</v>
      </c>
      <c r="C96" s="51" t="s">
        <v>402</v>
      </c>
      <c r="D96" s="50" t="s">
        <v>402</v>
      </c>
      <c r="E96" s="50" t="s">
        <v>402</v>
      </c>
      <c r="F96" s="50">
        <v>2678765</v>
      </c>
    </row>
    <row r="97" spans="2:6" hidden="1" outlineLevel="1" x14ac:dyDescent="0.2">
      <c r="B97" s="8" t="s">
        <v>462</v>
      </c>
      <c r="C97" s="51" t="s">
        <v>402</v>
      </c>
      <c r="D97" s="50" t="s">
        <v>402</v>
      </c>
      <c r="E97" s="50" t="s">
        <v>402</v>
      </c>
      <c r="F97" s="50">
        <v>-80831577</v>
      </c>
    </row>
    <row r="98" spans="2:6" hidden="1" outlineLevel="1" x14ac:dyDescent="0.2">
      <c r="B98" s="8" t="s">
        <v>463</v>
      </c>
      <c r="C98" s="51" t="s">
        <v>402</v>
      </c>
      <c r="D98" s="50" t="s">
        <v>402</v>
      </c>
      <c r="E98" s="50" t="s">
        <v>402</v>
      </c>
      <c r="F98" s="50">
        <v>975474475</v>
      </c>
    </row>
    <row r="99" spans="2:6" hidden="1" outlineLevel="1" x14ac:dyDescent="0.2">
      <c r="B99" s="8" t="s">
        <v>464</v>
      </c>
      <c r="C99" s="51">
        <v>-19176623043</v>
      </c>
      <c r="D99" s="50">
        <v>-32152108887</v>
      </c>
      <c r="E99" s="50">
        <v>-16495879088</v>
      </c>
      <c r="F99" s="50">
        <v>-8607115912</v>
      </c>
    </row>
    <row r="100" spans="2:6" hidden="1" outlineLevel="1" x14ac:dyDescent="0.2">
      <c r="B100" s="8" t="s">
        <v>465</v>
      </c>
      <c r="C100" s="51">
        <v>-1944505577</v>
      </c>
      <c r="D100" s="50">
        <v>-428911779</v>
      </c>
      <c r="E100" s="50">
        <v>-1446151509</v>
      </c>
      <c r="F100" s="50">
        <v>-123705468</v>
      </c>
    </row>
    <row r="101" spans="2:6" hidden="1" outlineLevel="1" x14ac:dyDescent="0.2">
      <c r="B101" s="8" t="s">
        <v>466</v>
      </c>
      <c r="C101" s="51" t="s">
        <v>402</v>
      </c>
      <c r="D101" s="50" t="s">
        <v>402</v>
      </c>
      <c r="E101" s="50" t="s">
        <v>402</v>
      </c>
      <c r="F101" s="50">
        <v>-200000000</v>
      </c>
    </row>
    <row r="102" spans="2:6" hidden="1" outlineLevel="1" x14ac:dyDescent="0.2">
      <c r="B102" s="8" t="s">
        <v>467</v>
      </c>
      <c r="C102" s="51">
        <v>-884896088</v>
      </c>
      <c r="D102" s="50">
        <v>-104868617</v>
      </c>
      <c r="E102" s="50">
        <v>707738918</v>
      </c>
      <c r="F102" s="50">
        <v>225825087</v>
      </c>
    </row>
    <row r="103" spans="2:6" hidden="1" outlineLevel="1" x14ac:dyDescent="0.2">
      <c r="B103" s="8" t="s">
        <v>468</v>
      </c>
      <c r="C103" s="51">
        <v>2783977522</v>
      </c>
      <c r="D103" s="50">
        <v>-1084166860</v>
      </c>
      <c r="E103" s="50">
        <v>597799364</v>
      </c>
      <c r="F103" s="50">
        <v>-662520103</v>
      </c>
    </row>
    <row r="104" spans="2:6" hidden="1" outlineLevel="1" x14ac:dyDescent="0.2">
      <c r="B104" s="8" t="s">
        <v>469</v>
      </c>
      <c r="C104" s="51">
        <v>-102893857</v>
      </c>
      <c r="D104" s="50">
        <v>-188657804</v>
      </c>
      <c r="E104" s="50">
        <v>-122416017</v>
      </c>
      <c r="F104" s="50">
        <v>-901766076</v>
      </c>
    </row>
    <row r="105" spans="2:6" hidden="1" outlineLevel="1" x14ac:dyDescent="0.2">
      <c r="B105" s="8" t="s">
        <v>470</v>
      </c>
      <c r="C105" s="51">
        <v>-19916360343</v>
      </c>
      <c r="D105" s="50">
        <v>-24975187028</v>
      </c>
      <c r="E105" s="50">
        <v>-11000299691</v>
      </c>
      <c r="F105" s="50">
        <v>1749801031</v>
      </c>
    </row>
    <row r="106" spans="2:6" hidden="1" outlineLevel="1" x14ac:dyDescent="0.2">
      <c r="B106" s="8" t="s">
        <v>471</v>
      </c>
      <c r="C106" s="51">
        <v>-200418726</v>
      </c>
      <c r="D106" s="50">
        <v>-6176854</v>
      </c>
      <c r="E106" s="50">
        <v>179443080</v>
      </c>
      <c r="F106" s="50">
        <v>-196089000</v>
      </c>
    </row>
    <row r="107" spans="2:6" hidden="1" outlineLevel="1" x14ac:dyDescent="0.2">
      <c r="B107" s="8" t="s">
        <v>472</v>
      </c>
      <c r="C107" s="51">
        <v>-4287615700</v>
      </c>
      <c r="D107" s="50">
        <v>-3237503600</v>
      </c>
      <c r="E107" s="50">
        <v>-2888000000</v>
      </c>
      <c r="F107" s="50">
        <v>-2115376240</v>
      </c>
    </row>
    <row r="108" spans="2:6" hidden="1" outlineLevel="1" x14ac:dyDescent="0.2">
      <c r="B108" s="8" t="s">
        <v>473</v>
      </c>
      <c r="C108" s="51" t="s">
        <v>402</v>
      </c>
      <c r="D108" s="50" t="s">
        <v>402</v>
      </c>
      <c r="E108" s="50" t="s">
        <v>402</v>
      </c>
      <c r="F108" s="50">
        <v>-1716484885</v>
      </c>
    </row>
    <row r="109" spans="2:6" hidden="1" outlineLevel="1" x14ac:dyDescent="0.2">
      <c r="B109" s="8" t="s">
        <v>474</v>
      </c>
      <c r="C109" s="51" t="s">
        <v>402</v>
      </c>
      <c r="D109" s="50" t="s">
        <v>402</v>
      </c>
      <c r="E109" s="50" t="s">
        <v>402</v>
      </c>
      <c r="F109" s="357">
        <v>-12230899617</v>
      </c>
    </row>
    <row r="110" spans="2:6" hidden="1" outlineLevel="1" x14ac:dyDescent="0.2">
      <c r="B110" s="8" t="s">
        <v>475</v>
      </c>
      <c r="C110" s="51">
        <v>-1124382016</v>
      </c>
      <c r="D110" s="50">
        <v>1124382016</v>
      </c>
      <c r="E110" s="50">
        <v>-1147407904</v>
      </c>
      <c r="F110" s="50" t="s">
        <v>402</v>
      </c>
    </row>
    <row r="111" spans="2:6" hidden="1" outlineLevel="1" x14ac:dyDescent="0.2">
      <c r="B111" s="8" t="s">
        <v>476</v>
      </c>
      <c r="C111" s="51">
        <v>189887339</v>
      </c>
      <c r="D111" s="50">
        <v>101146288</v>
      </c>
      <c r="E111" s="50">
        <v>-154091753</v>
      </c>
      <c r="F111" s="50">
        <v>-58870541</v>
      </c>
    </row>
    <row r="112" spans="2:6" hidden="1" outlineLevel="1" x14ac:dyDescent="0.2">
      <c r="B112" s="8" t="s">
        <v>477</v>
      </c>
      <c r="C112" s="51">
        <v>2473473379</v>
      </c>
      <c r="D112" s="50">
        <v>-2085789462</v>
      </c>
      <c r="E112" s="50">
        <v>2019888300</v>
      </c>
      <c r="F112" s="50">
        <v>-1585541337</v>
      </c>
    </row>
    <row r="113" spans="2:6" hidden="1" outlineLevel="1" x14ac:dyDescent="0.2">
      <c r="B113" s="8" t="s">
        <v>478</v>
      </c>
      <c r="C113" s="51">
        <v>5656126521</v>
      </c>
      <c r="D113" s="50">
        <v>2911082498</v>
      </c>
      <c r="E113" s="50">
        <v>823419177</v>
      </c>
      <c r="F113" s="50">
        <v>-524044888</v>
      </c>
    </row>
    <row r="114" spans="2:6" hidden="1" outlineLevel="1" x14ac:dyDescent="0.2">
      <c r="B114" s="8" t="s">
        <v>479</v>
      </c>
      <c r="C114" s="51" t="s">
        <v>402</v>
      </c>
      <c r="D114" s="50">
        <v>742654480</v>
      </c>
      <c r="E114" s="50">
        <v>-742654480</v>
      </c>
      <c r="F114" s="50">
        <v>7588112333</v>
      </c>
    </row>
    <row r="115" spans="2:6" hidden="1" outlineLevel="1" x14ac:dyDescent="0.2">
      <c r="B115" s="8" t="s">
        <v>480</v>
      </c>
      <c r="C115" s="51" t="s">
        <v>402</v>
      </c>
      <c r="D115" s="50">
        <v>-1800000</v>
      </c>
      <c r="E115" s="50" t="s">
        <v>402</v>
      </c>
      <c r="F115" s="50">
        <v>-233774147</v>
      </c>
    </row>
    <row r="116" spans="2:6" hidden="1" outlineLevel="1" x14ac:dyDescent="0.2">
      <c r="B116" s="8" t="s">
        <v>481</v>
      </c>
      <c r="C116" s="51">
        <v>554911767</v>
      </c>
      <c r="D116" s="50">
        <v>53374286</v>
      </c>
      <c r="E116" s="50">
        <v>475144164</v>
      </c>
      <c r="F116" s="50">
        <v>656108605</v>
      </c>
    </row>
    <row r="117" spans="2:6" hidden="1" outlineLevel="1" x14ac:dyDescent="0.2">
      <c r="B117" s="8" t="s">
        <v>482</v>
      </c>
      <c r="C117" s="51">
        <v>-227687925</v>
      </c>
      <c r="D117" s="50">
        <v>339604213</v>
      </c>
      <c r="E117" s="50">
        <v>84625991</v>
      </c>
      <c r="F117" s="50">
        <v>939175249</v>
      </c>
    </row>
    <row r="118" spans="2:6" hidden="1" outlineLevel="1" x14ac:dyDescent="0.2">
      <c r="B118" s="8" t="s">
        <v>483</v>
      </c>
      <c r="C118" s="51">
        <v>-1775563037</v>
      </c>
      <c r="D118" s="50">
        <v>65222800</v>
      </c>
      <c r="E118" s="50">
        <v>319246976</v>
      </c>
      <c r="F118" s="50">
        <v>404112627</v>
      </c>
    </row>
    <row r="119" spans="2:6" hidden="1" outlineLevel="1" x14ac:dyDescent="0.2">
      <c r="B119" s="8" t="s">
        <v>484</v>
      </c>
      <c r="C119" s="51">
        <v>95000000</v>
      </c>
      <c r="D119" s="50">
        <v>193000000</v>
      </c>
      <c r="E119" s="50">
        <v>173000000</v>
      </c>
      <c r="F119" s="50">
        <v>289000000</v>
      </c>
    </row>
    <row r="120" spans="2:6" hidden="1" outlineLevel="1" x14ac:dyDescent="0.2">
      <c r="B120" s="8" t="s">
        <v>485</v>
      </c>
      <c r="C120" s="51">
        <v>-12253008</v>
      </c>
      <c r="D120" s="50">
        <v>65672030</v>
      </c>
      <c r="E120" s="50">
        <v>-19618265</v>
      </c>
      <c r="F120" s="50">
        <v>113632994</v>
      </c>
    </row>
    <row r="121" spans="2:6" hidden="1" outlineLevel="1" x14ac:dyDescent="0.2">
      <c r="B121" s="8" t="s">
        <v>486</v>
      </c>
      <c r="C121" s="51">
        <v>400550000</v>
      </c>
      <c r="D121" s="50">
        <v>378650000</v>
      </c>
      <c r="E121" s="50">
        <v>-107950000</v>
      </c>
      <c r="F121" s="50">
        <v>-69500000</v>
      </c>
    </row>
    <row r="122" spans="2:6" hidden="1" outlineLevel="1" x14ac:dyDescent="0.2">
      <c r="B122" s="8" t="s">
        <v>487</v>
      </c>
      <c r="C122" s="51" t="s">
        <v>402</v>
      </c>
      <c r="D122" s="50" t="s">
        <v>402</v>
      </c>
      <c r="E122" s="50" t="s">
        <v>402</v>
      </c>
      <c r="F122" s="50">
        <v>63060476</v>
      </c>
    </row>
    <row r="123" spans="2:6" hidden="1" outlineLevel="1" x14ac:dyDescent="0.2">
      <c r="B123" s="8" t="s">
        <v>488</v>
      </c>
      <c r="C123" s="51" t="s">
        <v>402</v>
      </c>
      <c r="D123" s="50" t="s">
        <v>402</v>
      </c>
      <c r="E123" s="50" t="s">
        <v>402</v>
      </c>
      <c r="F123" s="50">
        <v>92931363</v>
      </c>
    </row>
    <row r="124" spans="2:6" hidden="1" outlineLevel="1" x14ac:dyDescent="0.2">
      <c r="B124" s="8" t="s">
        <v>489</v>
      </c>
      <c r="C124" s="10"/>
      <c r="D124" s="9" t="s">
        <v>402</v>
      </c>
      <c r="E124" s="11">
        <v>17181820</v>
      </c>
      <c r="F124" s="11">
        <v>319727281</v>
      </c>
    </row>
    <row r="125" spans="2:6" hidden="1" outlineLevel="1" x14ac:dyDescent="0.2">
      <c r="B125" s="8" t="s">
        <v>490</v>
      </c>
      <c r="C125" s="12">
        <v>-1730556211</v>
      </c>
      <c r="D125" s="11">
        <v>-1191428079</v>
      </c>
      <c r="E125" s="11">
        <v>-1779784944</v>
      </c>
      <c r="F125" s="11">
        <v>-643997601</v>
      </c>
    </row>
    <row r="126" spans="2:6" hidden="1" outlineLevel="1" x14ac:dyDescent="0.2">
      <c r="B126" s="8" t="s">
        <v>491</v>
      </c>
      <c r="C126" s="12">
        <v>876582917</v>
      </c>
      <c r="D126" s="11">
        <v>-4822407415</v>
      </c>
      <c r="E126" s="11">
        <v>-2484992315</v>
      </c>
      <c r="F126" s="11">
        <v>213966945</v>
      </c>
    </row>
    <row r="127" spans="2:6" hidden="1" outlineLevel="1" x14ac:dyDescent="0.2">
      <c r="B127" s="8" t="s">
        <v>492</v>
      </c>
      <c r="C127" s="12">
        <v>269469757</v>
      </c>
      <c r="D127" s="11">
        <v>181700462</v>
      </c>
      <c r="E127" s="11">
        <v>193452530</v>
      </c>
      <c r="F127" s="11">
        <v>26709281</v>
      </c>
    </row>
    <row r="128" spans="2:6" hidden="1" outlineLevel="1" x14ac:dyDescent="0.2">
      <c r="B128" s="8" t="s">
        <v>493</v>
      </c>
      <c r="C128" s="12">
        <v>-5394697774</v>
      </c>
      <c r="D128" s="11">
        <v>-7324676523</v>
      </c>
      <c r="E128" s="11">
        <v>-6488334778</v>
      </c>
      <c r="F128" s="11">
        <v>-3720998922</v>
      </c>
    </row>
    <row r="129" spans="2:6" hidden="1" outlineLevel="1" x14ac:dyDescent="0.2">
      <c r="B129" s="8" t="s">
        <v>494</v>
      </c>
      <c r="C129" s="12">
        <v>-69029726</v>
      </c>
      <c r="D129" s="11">
        <v>13469501</v>
      </c>
      <c r="E129" s="11">
        <v>-601544666</v>
      </c>
      <c r="F129" s="11">
        <v>-4194867229</v>
      </c>
    </row>
    <row r="130" spans="2:6" hidden="1" outlineLevel="1" x14ac:dyDescent="0.2">
      <c r="B130" s="8" t="s">
        <v>495</v>
      </c>
      <c r="C130" s="12">
        <v>-195057537368</v>
      </c>
      <c r="D130" s="11">
        <v>-611182321</v>
      </c>
      <c r="E130" s="11">
        <v>-883128961</v>
      </c>
      <c r="F130" s="11">
        <v>2072688310</v>
      </c>
    </row>
    <row r="131" spans="2:6" hidden="1" outlineLevel="1" x14ac:dyDescent="0.2">
      <c r="B131" s="8" t="s">
        <v>496</v>
      </c>
      <c r="C131" s="12">
        <v>2806644673</v>
      </c>
      <c r="D131" s="11">
        <v>3885231820</v>
      </c>
      <c r="E131" s="11">
        <v>1355250946</v>
      </c>
      <c r="F131" s="11">
        <v>4116937588</v>
      </c>
    </row>
    <row r="132" spans="2:6" hidden="1" outlineLevel="1" x14ac:dyDescent="0.2">
      <c r="B132" s="8" t="s">
        <v>497</v>
      </c>
      <c r="C132" s="12">
        <v>813644798</v>
      </c>
      <c r="D132" s="11">
        <v>185231820</v>
      </c>
      <c r="E132" s="11">
        <v>-85745454</v>
      </c>
      <c r="F132" s="11">
        <v>4116937588</v>
      </c>
    </row>
    <row r="133" spans="2:6" hidden="1" outlineLevel="1" x14ac:dyDescent="0.2">
      <c r="B133" s="8" t="s">
        <v>498</v>
      </c>
      <c r="C133" s="10" t="s">
        <v>402</v>
      </c>
      <c r="D133" s="11">
        <v>3700000000</v>
      </c>
      <c r="E133" s="9" t="s">
        <v>402</v>
      </c>
      <c r="F133" s="9" t="s">
        <v>402</v>
      </c>
    </row>
    <row r="134" spans="2:6" hidden="1" outlineLevel="1" x14ac:dyDescent="0.2">
      <c r="B134" s="8" t="s">
        <v>499</v>
      </c>
      <c r="C134" s="12">
        <v>1243000000</v>
      </c>
      <c r="D134" s="9" t="s">
        <v>402</v>
      </c>
      <c r="E134" s="11">
        <v>1440996400</v>
      </c>
      <c r="F134" s="9" t="s">
        <v>402</v>
      </c>
    </row>
    <row r="135" spans="2:6" hidden="1" outlineLevel="1" x14ac:dyDescent="0.2">
      <c r="B135" s="8" t="s">
        <v>500</v>
      </c>
      <c r="C135" s="12">
        <v>749999875</v>
      </c>
      <c r="D135" s="9" t="s">
        <v>402</v>
      </c>
      <c r="E135" s="9" t="s">
        <v>402</v>
      </c>
      <c r="F135" s="9" t="s">
        <v>402</v>
      </c>
    </row>
    <row r="136" spans="2:6" hidden="1" outlineLevel="1" x14ac:dyDescent="0.2">
      <c r="B136" s="8" t="s">
        <v>501</v>
      </c>
      <c r="C136" s="12">
        <v>-197864182041</v>
      </c>
      <c r="D136" s="11">
        <v>-4496414141</v>
      </c>
      <c r="E136" s="11">
        <v>-2238379907</v>
      </c>
      <c r="F136" s="11">
        <v>-2044249278</v>
      </c>
    </row>
    <row r="137" spans="2:6" hidden="1" outlineLevel="1" x14ac:dyDescent="0.2">
      <c r="B137" s="8" t="s">
        <v>502</v>
      </c>
      <c r="C137" s="12">
        <v>3700000000</v>
      </c>
      <c r="D137" s="50" t="s">
        <v>402</v>
      </c>
      <c r="E137" s="9" t="s">
        <v>402</v>
      </c>
      <c r="F137" s="9" t="s">
        <v>402</v>
      </c>
    </row>
    <row r="138" spans="2:6" hidden="1" outlineLevel="1" x14ac:dyDescent="0.2">
      <c r="B138" s="355" t="s">
        <v>503</v>
      </c>
      <c r="C138" s="145">
        <v>4767006745</v>
      </c>
      <c r="D138" s="357">
        <v>3551655891</v>
      </c>
      <c r="E138" s="144">
        <v>1190614727</v>
      </c>
      <c r="F138" s="144">
        <v>1704119678</v>
      </c>
    </row>
    <row r="139" spans="2:6" hidden="1" outlineLevel="1" x14ac:dyDescent="0.2">
      <c r="B139" s="355" t="s">
        <v>504</v>
      </c>
      <c r="C139" s="145">
        <v>1436413988</v>
      </c>
      <c r="D139" s="357">
        <v>944758250</v>
      </c>
      <c r="E139" s="144">
        <v>1047765180</v>
      </c>
      <c r="F139" s="144">
        <v>340129600</v>
      </c>
    </row>
    <row r="140" spans="2:6" hidden="1" outlineLevel="1" x14ac:dyDescent="0.2">
      <c r="B140" s="8" t="s">
        <v>505</v>
      </c>
      <c r="C140" s="12">
        <v>187960761308</v>
      </c>
      <c r="D140" s="50" t="s">
        <v>402</v>
      </c>
      <c r="E140" s="9" t="s">
        <v>402</v>
      </c>
      <c r="F140" s="9" t="s">
        <v>402</v>
      </c>
    </row>
    <row r="141" spans="2:6" hidden="1" outlineLevel="1" x14ac:dyDescent="0.2">
      <c r="B141" s="8" t="s">
        <v>506</v>
      </c>
      <c r="C141" s="12">
        <v>202291607771</v>
      </c>
      <c r="D141" s="11">
        <v>14499341</v>
      </c>
      <c r="E141" s="11">
        <v>-23856576482</v>
      </c>
      <c r="F141" s="11">
        <v>-15563997551</v>
      </c>
    </row>
    <row r="142" spans="2:6" hidden="1" outlineLevel="1" x14ac:dyDescent="0.2">
      <c r="B142" s="8" t="s">
        <v>507</v>
      </c>
      <c r="C142" s="12">
        <v>228331269003</v>
      </c>
      <c r="D142" s="11">
        <v>113000000000</v>
      </c>
      <c r="E142" s="9" t="s">
        <v>402</v>
      </c>
      <c r="F142" s="11">
        <v>51000000000</v>
      </c>
    </row>
    <row r="143" spans="2:6" hidden="1" outlineLevel="1" x14ac:dyDescent="0.2">
      <c r="B143" s="8" t="s">
        <v>508</v>
      </c>
      <c r="C143" s="12">
        <v>111319792000</v>
      </c>
      <c r="D143" s="9" t="s">
        <v>402</v>
      </c>
      <c r="E143" s="9" t="s">
        <v>402</v>
      </c>
      <c r="F143" s="9" t="s">
        <v>402</v>
      </c>
    </row>
    <row r="144" spans="2:6" hidden="1" outlineLevel="1" x14ac:dyDescent="0.2">
      <c r="B144" s="8" t="s">
        <v>509</v>
      </c>
      <c r="C144" s="12">
        <v>117011477003</v>
      </c>
      <c r="D144" s="11">
        <v>113000000000</v>
      </c>
      <c r="E144" s="9" t="s">
        <v>402</v>
      </c>
      <c r="F144" s="11">
        <v>10000000000</v>
      </c>
    </row>
    <row r="145" spans="2:6" hidden="1" outlineLevel="1" x14ac:dyDescent="0.2">
      <c r="B145" s="8" t="s">
        <v>510</v>
      </c>
      <c r="C145" s="10" t="s">
        <v>402</v>
      </c>
      <c r="D145" s="9" t="s">
        <v>402</v>
      </c>
      <c r="E145" s="9" t="s">
        <v>402</v>
      </c>
      <c r="F145" s="11">
        <v>11000000000</v>
      </c>
    </row>
    <row r="146" spans="2:6" hidden="1" outlineLevel="1" x14ac:dyDescent="0.2">
      <c r="B146" s="8" t="s">
        <v>511</v>
      </c>
      <c r="C146" s="10" t="s">
        <v>402</v>
      </c>
      <c r="D146" s="9" t="s">
        <v>402</v>
      </c>
      <c r="E146" s="9" t="s">
        <v>402</v>
      </c>
      <c r="F146" s="11">
        <v>30000000000</v>
      </c>
    </row>
    <row r="147" spans="2:6" hidden="1" outlineLevel="1" x14ac:dyDescent="0.2">
      <c r="B147" s="8" t="s">
        <v>512</v>
      </c>
      <c r="C147" s="12">
        <v>-26039661232</v>
      </c>
      <c r="D147" s="11">
        <v>-112985500659</v>
      </c>
      <c r="E147" s="11">
        <v>-23856576482</v>
      </c>
      <c r="F147" s="11">
        <v>-66563997551</v>
      </c>
    </row>
    <row r="148" spans="2:6" hidden="1" outlineLevel="1" x14ac:dyDescent="0.2">
      <c r="B148" s="8" t="s">
        <v>513</v>
      </c>
      <c r="C148" s="12">
        <v>19961234584</v>
      </c>
      <c r="D148" s="11">
        <v>101559130435</v>
      </c>
      <c r="E148" s="11">
        <v>13000000000</v>
      </c>
      <c r="F148" s="11">
        <v>-7248687776</v>
      </c>
    </row>
    <row r="149" spans="2:6" hidden="1" outlineLevel="1" x14ac:dyDescent="0.2">
      <c r="B149" s="8" t="s">
        <v>514</v>
      </c>
      <c r="C149" s="10"/>
      <c r="D149" s="9" t="s">
        <v>402</v>
      </c>
      <c r="E149" s="9" t="s">
        <v>402</v>
      </c>
      <c r="F149" s="11">
        <v>-18800000000</v>
      </c>
    </row>
    <row r="150" spans="2:6" hidden="1" outlineLevel="1" x14ac:dyDescent="0.2">
      <c r="B150" s="8" t="s">
        <v>515</v>
      </c>
      <c r="C150" s="10" t="s">
        <v>402</v>
      </c>
      <c r="D150" s="9" t="s">
        <v>402</v>
      </c>
      <c r="E150" s="9" t="s">
        <v>402</v>
      </c>
      <c r="F150" s="11">
        <v>-225044960</v>
      </c>
    </row>
    <row r="151" spans="2:6" hidden="1" outlineLevel="1" x14ac:dyDescent="0.2">
      <c r="B151" s="8" t="s">
        <v>516</v>
      </c>
      <c r="C151" s="10" t="s">
        <v>402</v>
      </c>
      <c r="D151" s="9" t="s">
        <v>402</v>
      </c>
      <c r="E151" s="9" t="s">
        <v>402</v>
      </c>
      <c r="F151" s="11">
        <v>-34712600000</v>
      </c>
    </row>
    <row r="152" spans="2:6" hidden="1" outlineLevel="1" x14ac:dyDescent="0.2">
      <c r="B152" s="8" t="s">
        <v>517</v>
      </c>
      <c r="C152" s="12">
        <v>6038918448</v>
      </c>
      <c r="D152" s="11">
        <v>11426370224</v>
      </c>
      <c r="E152" s="11">
        <v>10856576482</v>
      </c>
      <c r="F152" s="11">
        <v>-5577664815</v>
      </c>
    </row>
    <row r="153" spans="2:6" hidden="1" outlineLevel="1" x14ac:dyDescent="0.2">
      <c r="B153" s="8" t="s">
        <v>518</v>
      </c>
      <c r="C153" s="12">
        <v>39508200</v>
      </c>
      <c r="D153" s="9" t="s">
        <v>402</v>
      </c>
      <c r="E153" s="9" t="s">
        <v>402</v>
      </c>
      <c r="F153" s="9" t="s">
        <v>402</v>
      </c>
    </row>
    <row r="154" spans="2:6" hidden="1" outlineLevel="1" x14ac:dyDescent="0.2">
      <c r="B154" s="8" t="s">
        <v>519</v>
      </c>
      <c r="C154" s="12">
        <v>942055951</v>
      </c>
      <c r="D154" s="11">
        <v>5768620177</v>
      </c>
      <c r="E154" s="11">
        <v>8729911768</v>
      </c>
      <c r="F154" s="11">
        <v>31429173704</v>
      </c>
    </row>
    <row r="155" spans="2:6" hidden="1" outlineLevel="1" x14ac:dyDescent="0.2">
      <c r="B155" s="8" t="s">
        <v>520</v>
      </c>
      <c r="C155" s="12">
        <v>94088027</v>
      </c>
      <c r="D155" s="11">
        <v>1036143978</v>
      </c>
      <c r="E155" s="11">
        <v>6804764155</v>
      </c>
      <c r="F155" s="11">
        <v>15534675923</v>
      </c>
    </row>
    <row r="156" spans="2:6" hidden="1" outlineLevel="1" x14ac:dyDescent="0.2">
      <c r="B156" s="8" t="s">
        <v>521</v>
      </c>
      <c r="C156" s="10" t="s">
        <v>402</v>
      </c>
      <c r="D156" s="9" t="s">
        <v>402</v>
      </c>
      <c r="E156" s="9" t="s">
        <v>402</v>
      </c>
      <c r="F156" s="11">
        <v>114124256</v>
      </c>
    </row>
    <row r="157" spans="2:6" hidden="1" outlineLevel="1" x14ac:dyDescent="0.2">
      <c r="B157" s="13" t="s">
        <v>522</v>
      </c>
      <c r="C157" s="15">
        <v>1036143978</v>
      </c>
      <c r="D157" s="14">
        <v>6804764155</v>
      </c>
      <c r="E157" s="14">
        <v>15534675923</v>
      </c>
      <c r="F157" s="14">
        <v>47077973883</v>
      </c>
    </row>
    <row r="158" spans="2:6" collapsed="1" x14ac:dyDescent="0.2"/>
  </sheetData>
  <phoneticPr fontId="2" type="noConversion"/>
  <hyperlinks>
    <hyperlink ref="C1" location="Index!A1" display="Index!A1" xr:uid="{95538F18-4F3F-433C-9685-C400B3A926B0}"/>
  </hyperlink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D369-B9BB-4E63-B5CF-A860A2EC5C58}">
  <dimension ref="B1:S26"/>
  <sheetViews>
    <sheetView showGridLines="0" workbookViewId="0">
      <selection activeCell="I28" sqref="I28"/>
    </sheetView>
  </sheetViews>
  <sheetFormatPr defaultColWidth="9.28515625" defaultRowHeight="12" x14ac:dyDescent="0.2"/>
  <cols>
    <col min="1" max="1" width="1.7109375" style="1" customWidth="1"/>
    <col min="2" max="2" width="17.42578125" style="1" customWidth="1"/>
    <col min="3" max="6" width="9.28515625" style="1"/>
    <col min="7" max="7" width="13.140625" style="1" customWidth="1"/>
    <col min="8" max="8" width="18.7109375" style="1" customWidth="1"/>
    <col min="9" max="9" width="9.28515625" style="1"/>
    <col min="10" max="10" width="12" style="1" customWidth="1"/>
    <col min="11" max="16" width="9.28515625" style="1"/>
    <col min="17" max="18" width="10.28515625" style="1" bestFit="1" customWidth="1"/>
    <col min="19" max="19" width="10.85546875" style="1" customWidth="1"/>
    <col min="20" max="16384" width="9.28515625" style="1"/>
  </cols>
  <sheetData>
    <row r="1" spans="2:19" x14ac:dyDescent="0.2">
      <c r="B1" s="408" t="s">
        <v>18</v>
      </c>
      <c r="D1" s="614" t="s">
        <v>0</v>
      </c>
    </row>
    <row r="3" spans="2:19" x14ac:dyDescent="0.2">
      <c r="B3" s="404" t="s">
        <v>523</v>
      </c>
    </row>
    <row r="4" spans="2:19" x14ac:dyDescent="0.2">
      <c r="B4" s="688" t="s">
        <v>524</v>
      </c>
      <c r="C4" s="689"/>
      <c r="D4" s="689"/>
      <c r="E4" s="689"/>
      <c r="F4" s="689"/>
      <c r="G4" s="689"/>
      <c r="H4" s="689"/>
      <c r="I4" s="689"/>
      <c r="J4" s="689"/>
      <c r="K4" s="690"/>
      <c r="L4" s="691" t="s">
        <v>525</v>
      </c>
      <c r="M4" s="689"/>
      <c r="N4" s="690"/>
      <c r="O4" s="692" t="s">
        <v>526</v>
      </c>
    </row>
    <row r="5" spans="2:19" x14ac:dyDescent="0.2">
      <c r="B5" s="695" t="s">
        <v>527</v>
      </c>
      <c r="C5" s="698" t="s">
        <v>528</v>
      </c>
      <c r="D5" s="701" t="s">
        <v>529</v>
      </c>
      <c r="E5" s="702"/>
      <c r="F5" s="702"/>
      <c r="G5" s="702"/>
      <c r="H5" s="703"/>
      <c r="I5" s="405" t="s">
        <v>530</v>
      </c>
      <c r="J5" s="405" t="s">
        <v>531</v>
      </c>
      <c r="K5" s="405" t="s">
        <v>532</v>
      </c>
      <c r="L5" s="698" t="s">
        <v>533</v>
      </c>
      <c r="M5" s="698" t="s">
        <v>534</v>
      </c>
      <c r="N5" s="698" t="s">
        <v>535</v>
      </c>
      <c r="O5" s="693"/>
    </row>
    <row r="6" spans="2:19" x14ac:dyDescent="0.2">
      <c r="B6" s="696"/>
      <c r="C6" s="699"/>
      <c r="D6" s="704" t="s">
        <v>536</v>
      </c>
      <c r="E6" s="705"/>
      <c r="F6" s="704" t="s">
        <v>537</v>
      </c>
      <c r="G6" s="705"/>
      <c r="H6" s="698" t="s">
        <v>538</v>
      </c>
      <c r="I6" s="406" t="s">
        <v>539</v>
      </c>
      <c r="J6" s="406" t="s">
        <v>540</v>
      </c>
      <c r="K6" s="406" t="s">
        <v>541</v>
      </c>
      <c r="L6" s="699"/>
      <c r="M6" s="699"/>
      <c r="N6" s="699"/>
      <c r="O6" s="693"/>
    </row>
    <row r="7" spans="2:19" x14ac:dyDescent="0.2">
      <c r="B7" s="696"/>
      <c r="C7" s="699"/>
      <c r="D7" s="706" t="s">
        <v>542</v>
      </c>
      <c r="E7" s="707"/>
      <c r="F7" s="706" t="s">
        <v>543</v>
      </c>
      <c r="G7" s="707"/>
      <c r="H7" s="699"/>
      <c r="I7" s="406"/>
      <c r="J7" s="406"/>
      <c r="K7" s="406"/>
      <c r="L7" s="699"/>
      <c r="M7" s="699"/>
      <c r="N7" s="699"/>
      <c r="O7" s="693"/>
    </row>
    <row r="8" spans="2:19" x14ac:dyDescent="0.2">
      <c r="B8" s="696"/>
      <c r="C8" s="699"/>
      <c r="D8" s="698" t="s">
        <v>544</v>
      </c>
      <c r="E8" s="405" t="s">
        <v>545</v>
      </c>
      <c r="F8" s="698" t="s">
        <v>544</v>
      </c>
      <c r="G8" s="405" t="s">
        <v>545</v>
      </c>
      <c r="H8" s="699"/>
      <c r="I8" s="406"/>
      <c r="J8" s="406"/>
      <c r="K8" s="406"/>
      <c r="L8" s="699"/>
      <c r="M8" s="699"/>
      <c r="N8" s="699"/>
      <c r="O8" s="693"/>
    </row>
    <row r="9" spans="2:19" x14ac:dyDescent="0.2">
      <c r="B9" s="697"/>
      <c r="C9" s="700"/>
      <c r="D9" s="700"/>
      <c r="E9" s="407" t="s">
        <v>543</v>
      </c>
      <c r="F9" s="700"/>
      <c r="G9" s="407" t="s">
        <v>543</v>
      </c>
      <c r="H9" s="700"/>
      <c r="I9" s="407"/>
      <c r="J9" s="407"/>
      <c r="K9" s="407"/>
      <c r="L9" s="700"/>
      <c r="M9" s="700"/>
      <c r="N9" s="700"/>
      <c r="O9" s="694"/>
      <c r="Q9" s="436" t="s">
        <v>546</v>
      </c>
      <c r="S9" s="436" t="s">
        <v>547</v>
      </c>
    </row>
    <row r="10" spans="2:19" x14ac:dyDescent="0.2">
      <c r="B10" s="710" t="s">
        <v>276</v>
      </c>
      <c r="C10" s="402" t="s">
        <v>533</v>
      </c>
      <c r="D10" s="9">
        <v>782</v>
      </c>
      <c r="E10" s="9">
        <v>0</v>
      </c>
      <c r="F10" s="9">
        <v>2</v>
      </c>
      <c r="G10" s="9">
        <v>0</v>
      </c>
      <c r="H10" s="9">
        <v>784</v>
      </c>
      <c r="I10" s="9">
        <v>5.5</v>
      </c>
      <c r="J10" s="50">
        <v>24338802</v>
      </c>
      <c r="K10" s="9" t="s">
        <v>548</v>
      </c>
      <c r="L10" s="9">
        <v>6</v>
      </c>
      <c r="M10" s="9">
        <v>0</v>
      </c>
      <c r="N10" s="9">
        <v>6</v>
      </c>
      <c r="O10" s="10" t="s">
        <v>402</v>
      </c>
      <c r="P10" s="74"/>
      <c r="Q10" s="437">
        <f t="shared" ref="Q10:Q21" si="0">$J$26*J10/$J$22</f>
        <v>-156725.14917378835</v>
      </c>
      <c r="S10" s="438">
        <f>J10*(6/7)+Q10</f>
        <v>20705105.136540495</v>
      </c>
    </row>
    <row r="11" spans="2:19" x14ac:dyDescent="0.2">
      <c r="B11" s="711"/>
      <c r="C11" s="402" t="s">
        <v>534</v>
      </c>
      <c r="D11" s="9">
        <v>71</v>
      </c>
      <c r="E11" s="9">
        <v>0</v>
      </c>
      <c r="F11" s="9">
        <v>1</v>
      </c>
      <c r="G11" s="9">
        <v>0</v>
      </c>
      <c r="H11" s="9">
        <v>72</v>
      </c>
      <c r="I11" s="9">
        <v>5.4</v>
      </c>
      <c r="J11" s="50">
        <v>1556949</v>
      </c>
      <c r="K11" s="9" t="s">
        <v>549</v>
      </c>
      <c r="L11" s="9">
        <v>0</v>
      </c>
      <c r="M11" s="9">
        <v>25</v>
      </c>
      <c r="N11" s="9">
        <v>25</v>
      </c>
      <c r="O11" s="10" t="s">
        <v>402</v>
      </c>
      <c r="P11" s="74"/>
      <c r="Q11" s="437">
        <f t="shared" si="0"/>
        <v>-10025.680979736826</v>
      </c>
      <c r="S11" s="438">
        <f t="shared" ref="S11:S21" si="1">J11*(6/7)+Q11</f>
        <v>1324502.0333059775</v>
      </c>
    </row>
    <row r="12" spans="2:19" x14ac:dyDescent="0.2">
      <c r="B12" s="710" t="s">
        <v>282</v>
      </c>
      <c r="C12" s="402" t="s">
        <v>533</v>
      </c>
      <c r="D12" s="9">
        <v>18</v>
      </c>
      <c r="E12" s="9">
        <v>0</v>
      </c>
      <c r="F12" s="9">
        <v>1</v>
      </c>
      <c r="G12" s="9">
        <v>0</v>
      </c>
      <c r="H12" s="9">
        <v>19</v>
      </c>
      <c r="I12" s="9">
        <v>6.4</v>
      </c>
      <c r="J12" s="50">
        <v>787935</v>
      </c>
      <c r="K12" s="9" t="s">
        <v>550</v>
      </c>
      <c r="L12" s="9">
        <v>0</v>
      </c>
      <c r="M12" s="9">
        <v>0</v>
      </c>
      <c r="N12" s="9">
        <v>0</v>
      </c>
      <c r="O12" s="10" t="s">
        <v>402</v>
      </c>
      <c r="P12" s="74"/>
      <c r="Q12" s="437">
        <f t="shared" si="0"/>
        <v>-5073.7596046941389</v>
      </c>
      <c r="S12" s="438">
        <f t="shared" si="1"/>
        <v>670299.09753816307</v>
      </c>
    </row>
    <row r="13" spans="2:19" x14ac:dyDescent="0.2">
      <c r="B13" s="711"/>
      <c r="C13" s="402" t="s">
        <v>534</v>
      </c>
      <c r="D13" s="9">
        <v>2</v>
      </c>
      <c r="E13" s="9">
        <v>0</v>
      </c>
      <c r="F13" s="9">
        <v>0</v>
      </c>
      <c r="G13" s="9">
        <v>0</v>
      </c>
      <c r="H13" s="9">
        <v>2</v>
      </c>
      <c r="I13" s="9">
        <v>4</v>
      </c>
      <c r="J13" s="50">
        <v>53504</v>
      </c>
      <c r="K13" s="9" t="s">
        <v>551</v>
      </c>
      <c r="L13" s="9">
        <v>0</v>
      </c>
      <c r="M13" s="9">
        <v>8</v>
      </c>
      <c r="N13" s="9">
        <v>8</v>
      </c>
      <c r="O13" s="10" t="s">
        <v>402</v>
      </c>
      <c r="P13" s="74"/>
      <c r="Q13" s="437">
        <f t="shared" si="0"/>
        <v>-344.52896988908378</v>
      </c>
      <c r="S13" s="438">
        <f t="shared" si="1"/>
        <v>45516.042458682343</v>
      </c>
    </row>
    <row r="14" spans="2:19" x14ac:dyDescent="0.2">
      <c r="B14" s="710" t="s">
        <v>284</v>
      </c>
      <c r="C14" s="402" t="s">
        <v>533</v>
      </c>
      <c r="D14" s="9">
        <v>25</v>
      </c>
      <c r="E14" s="9">
        <v>0</v>
      </c>
      <c r="F14" s="9">
        <v>0</v>
      </c>
      <c r="G14" s="9">
        <v>0</v>
      </c>
      <c r="H14" s="9">
        <v>25</v>
      </c>
      <c r="I14" s="9">
        <v>4</v>
      </c>
      <c r="J14" s="50">
        <v>1059328</v>
      </c>
      <c r="K14" s="9" t="s">
        <v>552</v>
      </c>
      <c r="L14" s="9">
        <v>0</v>
      </c>
      <c r="M14" s="9">
        <v>0</v>
      </c>
      <c r="N14" s="9">
        <v>0</v>
      </c>
      <c r="O14" s="10" t="s">
        <v>402</v>
      </c>
      <c r="P14" s="74"/>
      <c r="Q14" s="437">
        <f t="shared" si="0"/>
        <v>-6821.343911009707</v>
      </c>
      <c r="S14" s="438">
        <f t="shared" si="1"/>
        <v>901174.0846604188</v>
      </c>
    </row>
    <row r="15" spans="2:19" x14ac:dyDescent="0.2">
      <c r="B15" s="711"/>
      <c r="C15" s="402" t="s">
        <v>534</v>
      </c>
      <c r="D15" s="9">
        <v>9</v>
      </c>
      <c r="E15" s="9">
        <v>0</v>
      </c>
      <c r="F15" s="9">
        <v>0</v>
      </c>
      <c r="G15" s="9">
        <v>0</v>
      </c>
      <c r="H15" s="9">
        <v>9</v>
      </c>
      <c r="I15" s="9">
        <v>1.6</v>
      </c>
      <c r="J15" s="50">
        <v>353994</v>
      </c>
      <c r="K15" s="9" t="s">
        <v>553</v>
      </c>
      <c r="L15" s="9">
        <v>0</v>
      </c>
      <c r="M15" s="9">
        <v>1</v>
      </c>
      <c r="N15" s="9">
        <v>1</v>
      </c>
      <c r="O15" s="10" t="s">
        <v>402</v>
      </c>
      <c r="P15" s="74"/>
      <c r="Q15" s="437">
        <f t="shared" si="0"/>
        <v>-2279.477948693861</v>
      </c>
      <c r="S15" s="438">
        <f t="shared" si="1"/>
        <v>301143.95062273473</v>
      </c>
    </row>
    <row r="16" spans="2:19" x14ac:dyDescent="0.2">
      <c r="B16" s="710" t="s">
        <v>286</v>
      </c>
      <c r="C16" s="402" t="s">
        <v>533</v>
      </c>
      <c r="D16" s="9">
        <v>15</v>
      </c>
      <c r="E16" s="9">
        <v>0</v>
      </c>
      <c r="F16" s="9">
        <v>0</v>
      </c>
      <c r="G16" s="9">
        <v>0</v>
      </c>
      <c r="H16" s="9">
        <v>15</v>
      </c>
      <c r="I16" s="9">
        <v>6.7</v>
      </c>
      <c r="J16" s="50">
        <v>559744</v>
      </c>
      <c r="K16" s="9" t="s">
        <v>554</v>
      </c>
      <c r="L16" s="9">
        <v>10</v>
      </c>
      <c r="M16" s="9">
        <v>0</v>
      </c>
      <c r="N16" s="9">
        <v>10</v>
      </c>
      <c r="O16" s="10" t="s">
        <v>402</v>
      </c>
      <c r="P16" s="74"/>
      <c r="Q16" s="437">
        <f t="shared" si="0"/>
        <v>-3604.3664720692905</v>
      </c>
      <c r="S16" s="438">
        <f t="shared" si="1"/>
        <v>476176.20495650213</v>
      </c>
    </row>
    <row r="17" spans="2:19" x14ac:dyDescent="0.2">
      <c r="B17" s="711"/>
      <c r="C17" s="402" t="s">
        <v>534</v>
      </c>
      <c r="D17" s="9">
        <v>12</v>
      </c>
      <c r="E17" s="9">
        <v>0</v>
      </c>
      <c r="F17" s="9">
        <v>0</v>
      </c>
      <c r="G17" s="9">
        <v>0</v>
      </c>
      <c r="H17" s="9">
        <v>12</v>
      </c>
      <c r="I17" s="9">
        <v>5.2</v>
      </c>
      <c r="J17" s="50">
        <v>364331</v>
      </c>
      <c r="K17" s="9" t="s">
        <v>555</v>
      </c>
      <c r="L17" s="9">
        <v>0</v>
      </c>
      <c r="M17" s="9">
        <v>43</v>
      </c>
      <c r="N17" s="9">
        <v>43</v>
      </c>
      <c r="O17" s="10" t="s">
        <v>402</v>
      </c>
      <c r="P17" s="74"/>
      <c r="Q17" s="437">
        <f t="shared" si="0"/>
        <v>-2346.0411208257287</v>
      </c>
      <c r="S17" s="438">
        <f t="shared" si="1"/>
        <v>309937.67316488852</v>
      </c>
    </row>
    <row r="18" spans="2:19" x14ac:dyDescent="0.2">
      <c r="B18" s="710" t="s">
        <v>287</v>
      </c>
      <c r="C18" s="402" t="s">
        <v>533</v>
      </c>
      <c r="D18" s="9">
        <v>15</v>
      </c>
      <c r="E18" s="9">
        <v>0</v>
      </c>
      <c r="F18" s="9">
        <v>0</v>
      </c>
      <c r="G18" s="9">
        <v>0</v>
      </c>
      <c r="H18" s="9">
        <v>15</v>
      </c>
      <c r="I18" s="9">
        <v>6.4</v>
      </c>
      <c r="J18" s="50">
        <v>612930</v>
      </c>
      <c r="K18" s="9" t="s">
        <v>556</v>
      </c>
      <c r="L18" s="9">
        <v>8</v>
      </c>
      <c r="M18" s="9">
        <v>0</v>
      </c>
      <c r="N18" s="9">
        <v>8</v>
      </c>
      <c r="O18" s="10" t="s">
        <v>402</v>
      </c>
      <c r="P18" s="74"/>
      <c r="Q18" s="437">
        <f t="shared" si="0"/>
        <v>-3946.8477406196944</v>
      </c>
      <c r="S18" s="438">
        <f t="shared" si="1"/>
        <v>521421.72368795169</v>
      </c>
    </row>
    <row r="19" spans="2:19" x14ac:dyDescent="0.2">
      <c r="B19" s="711"/>
      <c r="C19" s="402" t="s">
        <v>534</v>
      </c>
      <c r="D19" s="9">
        <v>5</v>
      </c>
      <c r="E19" s="9">
        <v>0</v>
      </c>
      <c r="F19" s="9">
        <v>0</v>
      </c>
      <c r="G19" s="9">
        <v>0</v>
      </c>
      <c r="H19" s="9">
        <v>5</v>
      </c>
      <c r="I19" s="9">
        <v>4.4000000000000004</v>
      </c>
      <c r="J19" s="50">
        <v>119798</v>
      </c>
      <c r="K19" s="9" t="s">
        <v>557</v>
      </c>
      <c r="L19" s="9">
        <v>0</v>
      </c>
      <c r="M19" s="9">
        <v>1</v>
      </c>
      <c r="N19" s="9">
        <v>1</v>
      </c>
      <c r="O19" s="10" t="s">
        <v>402</v>
      </c>
      <c r="P19" s="74"/>
      <c r="Q19" s="437">
        <f t="shared" si="0"/>
        <v>-771.41674519236801</v>
      </c>
      <c r="S19" s="438">
        <f t="shared" si="1"/>
        <v>101912.58325480763</v>
      </c>
    </row>
    <row r="20" spans="2:19" x14ac:dyDescent="0.2">
      <c r="B20" s="710" t="s">
        <v>288</v>
      </c>
      <c r="C20" s="402" t="s">
        <v>533</v>
      </c>
      <c r="D20" s="9">
        <v>49</v>
      </c>
      <c r="E20" s="9">
        <v>0</v>
      </c>
      <c r="F20" s="9">
        <v>0</v>
      </c>
      <c r="G20" s="9">
        <v>0</v>
      </c>
      <c r="H20" s="9">
        <v>49</v>
      </c>
      <c r="I20" s="9">
        <v>7.4</v>
      </c>
      <c r="J20" s="50">
        <v>2174820</v>
      </c>
      <c r="K20" s="9" t="s">
        <v>558</v>
      </c>
      <c r="L20" s="9">
        <v>1</v>
      </c>
      <c r="M20" s="9">
        <v>0</v>
      </c>
      <c r="N20" s="9">
        <v>1</v>
      </c>
      <c r="O20" s="10" t="s">
        <v>402</v>
      </c>
      <c r="P20" s="74"/>
      <c r="Q20" s="437">
        <f t="shared" si="0"/>
        <v>-14004.345362854689</v>
      </c>
      <c r="S20" s="438">
        <f t="shared" si="1"/>
        <v>1850127.0832085737</v>
      </c>
    </row>
    <row r="21" spans="2:19" x14ac:dyDescent="0.2">
      <c r="B21" s="711"/>
      <c r="C21" s="402" t="s">
        <v>534</v>
      </c>
      <c r="D21" s="9">
        <v>18</v>
      </c>
      <c r="E21" s="9">
        <v>0</v>
      </c>
      <c r="F21" s="9">
        <v>2</v>
      </c>
      <c r="G21" s="9">
        <v>0</v>
      </c>
      <c r="H21" s="9">
        <v>20</v>
      </c>
      <c r="I21" s="9">
        <v>5.5</v>
      </c>
      <c r="J21" s="50">
        <v>623964</v>
      </c>
      <c r="K21" s="9" t="s">
        <v>559</v>
      </c>
      <c r="L21" s="9">
        <v>0</v>
      </c>
      <c r="M21" s="9">
        <v>1</v>
      </c>
      <c r="N21" s="9">
        <v>1</v>
      </c>
      <c r="O21" s="10" t="s">
        <v>402</v>
      </c>
      <c r="P21" s="74"/>
      <c r="Q21" s="437">
        <f t="shared" si="0"/>
        <v>-4017.899113484455</v>
      </c>
      <c r="S21" s="438">
        <f t="shared" si="1"/>
        <v>530808.38660080126</v>
      </c>
    </row>
    <row r="22" spans="2:19" x14ac:dyDescent="0.2">
      <c r="B22" s="708" t="s">
        <v>560</v>
      </c>
      <c r="C22" s="709"/>
      <c r="D22" s="14">
        <v>1021</v>
      </c>
      <c r="E22" s="22">
        <v>0</v>
      </c>
      <c r="F22" s="22">
        <v>6</v>
      </c>
      <c r="G22" s="22">
        <v>0</v>
      </c>
      <c r="H22" s="14">
        <v>1027</v>
      </c>
      <c r="I22" s="22">
        <v>5.6</v>
      </c>
      <c r="J22" s="433">
        <v>32606099</v>
      </c>
      <c r="K22" s="22" t="s">
        <v>561</v>
      </c>
      <c r="L22" s="22">
        <v>25</v>
      </c>
      <c r="M22" s="22">
        <v>79</v>
      </c>
      <c r="N22" s="22">
        <v>104</v>
      </c>
      <c r="O22" s="23" t="s">
        <v>402</v>
      </c>
      <c r="P22" s="74"/>
      <c r="Q22" s="437">
        <f>SUM(Q10:Q21)</f>
        <v>-209960.85714285818</v>
      </c>
      <c r="S22" s="438">
        <f>SUM(S10:S21)</f>
        <v>27738123.999999989</v>
      </c>
    </row>
    <row r="23" spans="2:19" x14ac:dyDescent="0.2">
      <c r="B23" s="403"/>
      <c r="C23" s="403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S23" s="1" t="b">
        <f>S22=J25</f>
        <v>1</v>
      </c>
    </row>
    <row r="24" spans="2:19" x14ac:dyDescent="0.2">
      <c r="D24" s="74"/>
      <c r="E24" s="74"/>
      <c r="F24" s="74"/>
      <c r="G24" s="74"/>
      <c r="H24" s="428" t="s">
        <v>562</v>
      </c>
      <c r="I24" s="434"/>
      <c r="J24" s="429">
        <f>J22*6/7</f>
        <v>27948084.857142858</v>
      </c>
      <c r="K24" s="74"/>
      <c r="L24" s="74"/>
      <c r="M24" s="74"/>
      <c r="N24" s="74"/>
      <c r="O24" s="74"/>
      <c r="P24" s="74"/>
      <c r="Q24" s="74"/>
    </row>
    <row r="25" spans="2:19" x14ac:dyDescent="0.2">
      <c r="B25" s="404"/>
      <c r="D25" s="74"/>
      <c r="E25" s="74"/>
      <c r="F25" s="74"/>
      <c r="G25" s="74"/>
      <c r="H25" s="430" t="s">
        <v>563</v>
      </c>
      <c r="I25" s="435"/>
      <c r="J25" s="431">
        <f>Dart_Cost!F33</f>
        <v>27738124</v>
      </c>
      <c r="K25" s="74"/>
      <c r="L25" s="74"/>
      <c r="M25" s="74"/>
      <c r="N25" s="74"/>
      <c r="O25" s="74"/>
      <c r="P25" s="74"/>
      <c r="Q25" s="74"/>
    </row>
    <row r="26" spans="2:19" x14ac:dyDescent="0.2">
      <c r="D26" s="74"/>
      <c r="E26" s="74"/>
      <c r="F26" s="74"/>
      <c r="G26" s="74"/>
      <c r="H26" s="430" t="s">
        <v>564</v>
      </c>
      <c r="I26" s="435"/>
      <c r="J26" s="432">
        <f>J25-J24</f>
        <v>-209960.85714285821</v>
      </c>
      <c r="K26" s="74"/>
      <c r="L26" s="74"/>
      <c r="M26" s="74"/>
      <c r="N26" s="74"/>
      <c r="O26" s="74"/>
      <c r="P26" s="74"/>
      <c r="Q26" s="74"/>
    </row>
  </sheetData>
  <mergeCells count="23">
    <mergeCell ref="B22:C22"/>
    <mergeCell ref="B10:B11"/>
    <mergeCell ref="B12:B13"/>
    <mergeCell ref="B14:B15"/>
    <mergeCell ref="B16:B17"/>
    <mergeCell ref="B18:B19"/>
    <mergeCell ref="B20:B21"/>
    <mergeCell ref="B4:K4"/>
    <mergeCell ref="L4:N4"/>
    <mergeCell ref="O4:O9"/>
    <mergeCell ref="B5:B9"/>
    <mergeCell ref="C5:C9"/>
    <mergeCell ref="D5:H5"/>
    <mergeCell ref="L5:L9"/>
    <mergeCell ref="M5:M9"/>
    <mergeCell ref="N5:N9"/>
    <mergeCell ref="D6:E6"/>
    <mergeCell ref="D7:E7"/>
    <mergeCell ref="F6:G6"/>
    <mergeCell ref="F7:G7"/>
    <mergeCell ref="H6:H9"/>
    <mergeCell ref="D8:D9"/>
    <mergeCell ref="F8:F9"/>
  </mergeCells>
  <phoneticPr fontId="2" type="noConversion"/>
  <hyperlinks>
    <hyperlink ref="D1" location="Index!A1" display="Index!A1" xr:uid="{B0605F77-06C1-430F-A5E9-BCE7C00549B1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BA11F-735C-45E1-BE20-2AE97D1868B9}">
  <dimension ref="B1:M106"/>
  <sheetViews>
    <sheetView showGridLines="0" workbookViewId="0">
      <selection activeCell="C1" sqref="C1"/>
    </sheetView>
  </sheetViews>
  <sheetFormatPr defaultColWidth="9.28515625" defaultRowHeight="12" outlineLevelRow="1" x14ac:dyDescent="0.2"/>
  <cols>
    <col min="1" max="1" width="1.7109375" style="1" customWidth="1"/>
    <col min="2" max="2" width="24.140625" style="1" customWidth="1"/>
    <col min="3" max="3" width="17.28515625" style="1" bestFit="1" customWidth="1"/>
    <col min="4" max="5" width="17.28515625" style="1" customWidth="1"/>
    <col min="6" max="6" width="12.7109375" style="1" bestFit="1" customWidth="1"/>
    <col min="7" max="7" width="13.42578125" style="1" bestFit="1" customWidth="1"/>
    <col min="8" max="8" width="9.28515625" style="1"/>
    <col min="9" max="9" width="27.7109375" style="1" customWidth="1"/>
    <col min="10" max="10" width="13.7109375" style="1" bestFit="1" customWidth="1"/>
    <col min="11" max="11" width="13.42578125" style="1" bestFit="1" customWidth="1"/>
    <col min="12" max="16384" width="9.28515625" style="1"/>
  </cols>
  <sheetData>
    <row r="1" spans="2:6" ht="15" x14ac:dyDescent="0.2">
      <c r="B1" s="25" t="s">
        <v>19</v>
      </c>
      <c r="C1" s="614" t="s">
        <v>0</v>
      </c>
    </row>
    <row r="3" spans="2:6" s="3" customFormat="1" x14ac:dyDescent="0.2">
      <c r="B3" s="2" t="s">
        <v>565</v>
      </c>
    </row>
    <row r="4" spans="2:6" outlineLevel="1" x14ac:dyDescent="0.2">
      <c r="B4" s="28" t="s">
        <v>566</v>
      </c>
    </row>
    <row r="5" spans="2:6" outlineLevel="1" x14ac:dyDescent="0.2">
      <c r="B5" s="29" t="s">
        <v>567</v>
      </c>
      <c r="C5" s="33">
        <v>2018</v>
      </c>
      <c r="D5" s="32">
        <v>2019</v>
      </c>
      <c r="E5" s="31">
        <v>2020</v>
      </c>
      <c r="F5" s="30" t="s">
        <v>306</v>
      </c>
    </row>
    <row r="6" spans="2:6" outlineLevel="1" x14ac:dyDescent="0.2">
      <c r="B6" s="34" t="s">
        <v>568</v>
      </c>
      <c r="C6" s="71">
        <v>663748170</v>
      </c>
      <c r="D6" s="72">
        <v>-25034444</v>
      </c>
      <c r="E6" s="73">
        <v>-11093619</v>
      </c>
      <c r="F6" s="73">
        <v>-4234879</v>
      </c>
    </row>
    <row r="7" spans="2:6" outlineLevel="1" x14ac:dyDescent="0.2">
      <c r="B7" s="34" t="s">
        <v>569</v>
      </c>
      <c r="C7" s="36">
        <v>0</v>
      </c>
      <c r="D7" s="43">
        <v>1078556109</v>
      </c>
      <c r="E7" s="40">
        <v>1181155177</v>
      </c>
      <c r="F7" s="40">
        <v>788348233</v>
      </c>
    </row>
    <row r="8" spans="2:6" outlineLevel="1" x14ac:dyDescent="0.2">
      <c r="B8" s="34" t="s">
        <v>570</v>
      </c>
      <c r="C8" s="44">
        <v>27995015</v>
      </c>
      <c r="D8" s="41">
        <v>44042751</v>
      </c>
      <c r="E8" s="40">
        <v>49239872</v>
      </c>
      <c r="F8" s="40">
        <v>29933465</v>
      </c>
    </row>
    <row r="9" spans="2:6" outlineLevel="1" x14ac:dyDescent="0.2">
      <c r="B9" s="34" t="s">
        <v>571</v>
      </c>
      <c r="C9" s="41">
        <v>2999708</v>
      </c>
      <c r="D9" s="41">
        <v>4883806</v>
      </c>
      <c r="E9" s="40">
        <v>4791542</v>
      </c>
      <c r="F9" s="40">
        <v>3111239</v>
      </c>
    </row>
    <row r="10" spans="2:6" outlineLevel="1" x14ac:dyDescent="0.2">
      <c r="B10" s="34" t="s">
        <v>572</v>
      </c>
      <c r="C10" s="41">
        <v>811035</v>
      </c>
      <c r="D10" s="41">
        <v>1648621</v>
      </c>
      <c r="E10" s="40">
        <v>1293548</v>
      </c>
      <c r="F10" s="40">
        <v>721307</v>
      </c>
    </row>
    <row r="11" spans="2:6" outlineLevel="1" x14ac:dyDescent="0.2">
      <c r="B11" s="34" t="s">
        <v>573</v>
      </c>
      <c r="C11" s="41">
        <v>298819</v>
      </c>
      <c r="D11" s="41">
        <v>406295</v>
      </c>
      <c r="E11" s="40">
        <v>306753</v>
      </c>
      <c r="F11" s="40">
        <v>182523</v>
      </c>
    </row>
    <row r="12" spans="2:6" outlineLevel="1" x14ac:dyDescent="0.2">
      <c r="B12" s="34" t="s">
        <v>574</v>
      </c>
      <c r="C12" s="41">
        <v>1802771</v>
      </c>
      <c r="D12" s="41">
        <v>3765010</v>
      </c>
      <c r="E12" s="40">
        <v>5220383</v>
      </c>
      <c r="F12" s="46">
        <v>2969282</v>
      </c>
    </row>
    <row r="13" spans="2:6" outlineLevel="1" x14ac:dyDescent="0.2">
      <c r="B13" s="34" t="s">
        <v>575</v>
      </c>
      <c r="C13" s="41">
        <v>0</v>
      </c>
      <c r="D13" s="41">
        <v>1500</v>
      </c>
      <c r="E13" s="43">
        <v>6400</v>
      </c>
      <c r="F13" s="36">
        <v>0</v>
      </c>
    </row>
    <row r="14" spans="2:6" outlineLevel="1" x14ac:dyDescent="0.2">
      <c r="B14" s="34" t="s">
        <v>576</v>
      </c>
      <c r="C14" s="41">
        <v>6680634</v>
      </c>
      <c r="D14" s="41">
        <v>12256755</v>
      </c>
      <c r="E14" s="43">
        <v>14214472</v>
      </c>
      <c r="F14" s="60">
        <v>18802028</v>
      </c>
    </row>
    <row r="15" spans="2:6" outlineLevel="1" x14ac:dyDescent="0.2">
      <c r="B15" s="34" t="s">
        <v>577</v>
      </c>
      <c r="C15" s="41">
        <v>1677407</v>
      </c>
      <c r="D15" s="41">
        <v>1566864</v>
      </c>
      <c r="E15" s="43">
        <v>1861070</v>
      </c>
      <c r="F15" s="60">
        <v>1190181</v>
      </c>
    </row>
    <row r="16" spans="2:6" outlineLevel="1" x14ac:dyDescent="0.2">
      <c r="B16" s="34" t="s">
        <v>578</v>
      </c>
      <c r="C16" s="41">
        <v>235401</v>
      </c>
      <c r="D16" s="41">
        <v>341832</v>
      </c>
      <c r="E16" s="43">
        <v>349413</v>
      </c>
      <c r="F16" s="60">
        <v>1572558</v>
      </c>
    </row>
    <row r="17" spans="2:6" outlineLevel="1" x14ac:dyDescent="0.2">
      <c r="B17" s="34" t="s">
        <v>579</v>
      </c>
      <c r="C17" s="41">
        <v>855248</v>
      </c>
      <c r="D17" s="41">
        <v>1037155</v>
      </c>
      <c r="E17" s="43">
        <v>1140067</v>
      </c>
      <c r="F17" s="60">
        <v>771644</v>
      </c>
    </row>
    <row r="18" spans="2:6" outlineLevel="1" x14ac:dyDescent="0.2">
      <c r="B18" s="34" t="s">
        <v>580</v>
      </c>
      <c r="C18" s="41">
        <v>1577843</v>
      </c>
      <c r="D18" s="41">
        <v>193856</v>
      </c>
      <c r="E18" s="43">
        <v>199083</v>
      </c>
      <c r="F18" s="60">
        <v>2727133</v>
      </c>
    </row>
    <row r="19" spans="2:6" outlineLevel="1" x14ac:dyDescent="0.2">
      <c r="B19" s="34" t="s">
        <v>581</v>
      </c>
      <c r="C19" s="41">
        <v>6038554</v>
      </c>
      <c r="D19" s="41">
        <v>9360366</v>
      </c>
      <c r="E19" s="43">
        <v>10811345</v>
      </c>
      <c r="F19" s="60">
        <v>7607318</v>
      </c>
    </row>
    <row r="20" spans="2:6" outlineLevel="1" x14ac:dyDescent="0.2">
      <c r="B20" s="34" t="s">
        <v>582</v>
      </c>
      <c r="C20" s="41">
        <v>751744</v>
      </c>
      <c r="D20" s="41">
        <v>1280700</v>
      </c>
      <c r="E20" s="43">
        <v>1659500</v>
      </c>
      <c r="F20" s="60">
        <v>922288</v>
      </c>
    </row>
    <row r="21" spans="2:6" outlineLevel="1" x14ac:dyDescent="0.2">
      <c r="B21" s="34" t="s">
        <v>583</v>
      </c>
      <c r="C21" s="41">
        <v>413477</v>
      </c>
      <c r="D21" s="41">
        <v>504020</v>
      </c>
      <c r="E21" s="43">
        <v>618270</v>
      </c>
      <c r="F21" s="60">
        <v>315982</v>
      </c>
    </row>
    <row r="22" spans="2:6" outlineLevel="1" x14ac:dyDescent="0.2">
      <c r="B22" s="34" t="s">
        <v>584</v>
      </c>
      <c r="C22" s="41">
        <v>232945</v>
      </c>
      <c r="D22" s="41">
        <v>267440</v>
      </c>
      <c r="E22" s="43">
        <v>376683</v>
      </c>
      <c r="F22" s="60">
        <v>153236</v>
      </c>
    </row>
    <row r="23" spans="2:6" outlineLevel="1" x14ac:dyDescent="0.2">
      <c r="B23" s="34" t="s">
        <v>585</v>
      </c>
      <c r="C23" s="41">
        <v>468221</v>
      </c>
      <c r="D23" s="41">
        <v>594292</v>
      </c>
      <c r="E23" s="43">
        <v>693463</v>
      </c>
      <c r="F23" s="60">
        <v>349912</v>
      </c>
    </row>
    <row r="24" spans="2:6" outlineLevel="1" x14ac:dyDescent="0.2">
      <c r="B24" s="34" t="s">
        <v>586</v>
      </c>
      <c r="C24" s="42">
        <v>3856243</v>
      </c>
      <c r="D24" s="42">
        <v>4812931</v>
      </c>
      <c r="E24" s="56">
        <v>3766917</v>
      </c>
      <c r="F24" s="60">
        <v>1813818</v>
      </c>
    </row>
    <row r="25" spans="2:6" outlineLevel="1" x14ac:dyDescent="0.2">
      <c r="B25" s="34" t="s">
        <v>587</v>
      </c>
      <c r="C25" s="36">
        <v>0</v>
      </c>
      <c r="D25" s="36">
        <v>0</v>
      </c>
      <c r="E25" s="58">
        <v>0</v>
      </c>
      <c r="F25" s="60">
        <v>975474</v>
      </c>
    </row>
    <row r="26" spans="2:6" outlineLevel="1" x14ac:dyDescent="0.2">
      <c r="B26" s="34" t="s">
        <v>588</v>
      </c>
      <c r="C26" s="36">
        <v>0</v>
      </c>
      <c r="D26" s="36">
        <v>0</v>
      </c>
      <c r="E26" s="58">
        <v>0</v>
      </c>
      <c r="F26" s="60">
        <v>4368328</v>
      </c>
    </row>
    <row r="27" spans="2:6" outlineLevel="1" x14ac:dyDescent="0.2">
      <c r="B27" s="34" t="s">
        <v>589</v>
      </c>
      <c r="C27" s="44">
        <v>11694027</v>
      </c>
      <c r="D27" s="44">
        <v>15664953</v>
      </c>
      <c r="E27" s="57">
        <v>18805050</v>
      </c>
      <c r="F27" s="60">
        <v>9504955</v>
      </c>
    </row>
    <row r="28" spans="2:6" outlineLevel="1" x14ac:dyDescent="0.2">
      <c r="B28" s="37" t="s">
        <v>590</v>
      </c>
      <c r="C28" s="47">
        <v>732137262</v>
      </c>
      <c r="D28" s="48">
        <v>1156150812</v>
      </c>
      <c r="E28" s="59">
        <v>1285415389</v>
      </c>
      <c r="F28" s="61">
        <f>SUM(F6:F27)</f>
        <v>872106025</v>
      </c>
    </row>
    <row r="29" spans="2:6" x14ac:dyDescent="0.2">
      <c r="C29" s="45"/>
      <c r="D29" s="45"/>
      <c r="E29" s="45"/>
      <c r="F29" s="45"/>
    </row>
    <row r="30" spans="2:6" s="3" customFormat="1" x14ac:dyDescent="0.2">
      <c r="B30" s="2" t="s">
        <v>591</v>
      </c>
      <c r="C30" s="49"/>
      <c r="D30" s="49"/>
      <c r="E30" s="49"/>
      <c r="F30" s="49"/>
    </row>
    <row r="31" spans="2:6" outlineLevel="1" x14ac:dyDescent="0.2">
      <c r="B31" s="28" t="s">
        <v>566</v>
      </c>
      <c r="C31" s="45">
        <f>C33+C34</f>
        <v>27995015</v>
      </c>
      <c r="D31" s="45">
        <f t="shared" ref="D31:F31" si="0">D33+D34</f>
        <v>44042751</v>
      </c>
      <c r="E31" s="45">
        <f t="shared" si="0"/>
        <v>49239872</v>
      </c>
      <c r="F31" s="45">
        <f t="shared" si="0"/>
        <v>29933465</v>
      </c>
    </row>
    <row r="32" spans="2:6" ht="13.5" customHeight="1" outlineLevel="1" x14ac:dyDescent="0.2">
      <c r="B32" s="26" t="s">
        <v>567</v>
      </c>
      <c r="C32" s="33">
        <v>2018</v>
      </c>
      <c r="D32" s="32">
        <v>2019</v>
      </c>
      <c r="E32" s="31">
        <v>2020</v>
      </c>
      <c r="F32" s="30" t="s">
        <v>306</v>
      </c>
    </row>
    <row r="33" spans="2:13" outlineLevel="1" x14ac:dyDescent="0.2">
      <c r="B33" s="27" t="s">
        <v>592</v>
      </c>
      <c r="C33" s="51">
        <v>25858310</v>
      </c>
      <c r="D33" s="51">
        <v>40917289</v>
      </c>
      <c r="E33" s="50">
        <v>44758009</v>
      </c>
      <c r="F33" s="50">
        <v>27738124</v>
      </c>
    </row>
    <row r="34" spans="2:13" outlineLevel="1" x14ac:dyDescent="0.2">
      <c r="B34" s="27" t="s">
        <v>593</v>
      </c>
      <c r="C34" s="51">
        <v>2136705</v>
      </c>
      <c r="D34" s="51">
        <v>3125462</v>
      </c>
      <c r="E34" s="50">
        <v>4481863</v>
      </c>
      <c r="F34" s="50">
        <v>2195341</v>
      </c>
    </row>
    <row r="35" spans="2:13" ht="13.5" outlineLevel="1" x14ac:dyDescent="0.2">
      <c r="B35" s="27" t="s">
        <v>571</v>
      </c>
      <c r="C35" s="51">
        <v>2999708</v>
      </c>
      <c r="D35" s="51">
        <v>4883806</v>
      </c>
      <c r="E35" s="50">
        <v>4791542</v>
      </c>
      <c r="F35" s="50">
        <v>3111239</v>
      </c>
      <c r="M35" s="63"/>
    </row>
    <row r="36" spans="2:13" ht="13.5" outlineLevel="1" x14ac:dyDescent="0.2">
      <c r="B36" s="27" t="s">
        <v>572</v>
      </c>
      <c r="C36" s="51">
        <v>811035</v>
      </c>
      <c r="D36" s="51">
        <v>1648621</v>
      </c>
      <c r="E36" s="50">
        <v>1293548</v>
      </c>
      <c r="F36" s="50">
        <v>721307</v>
      </c>
      <c r="M36" s="63"/>
    </row>
    <row r="37" spans="2:13" ht="13.5" outlineLevel="1" x14ac:dyDescent="0.2">
      <c r="B37" s="27" t="s">
        <v>573</v>
      </c>
      <c r="C37" s="52">
        <v>298819</v>
      </c>
      <c r="D37" s="51">
        <v>406295</v>
      </c>
      <c r="E37" s="50">
        <v>306753</v>
      </c>
      <c r="F37" s="50">
        <v>182523</v>
      </c>
      <c r="M37" s="63"/>
    </row>
    <row r="38" spans="2:13" ht="13.5" outlineLevel="1" x14ac:dyDescent="0.2">
      <c r="B38" s="27" t="s">
        <v>594</v>
      </c>
      <c r="C38" s="36">
        <v>0</v>
      </c>
      <c r="D38" s="53">
        <v>8052969</v>
      </c>
      <c r="E38" s="50">
        <v>9631908</v>
      </c>
      <c r="F38" s="50">
        <v>5712917</v>
      </c>
      <c r="M38" s="63"/>
    </row>
    <row r="39" spans="2:13" ht="13.5" outlineLevel="1" x14ac:dyDescent="0.2">
      <c r="B39" s="27" t="s">
        <v>589</v>
      </c>
      <c r="C39" s="54">
        <v>11682769</v>
      </c>
      <c r="D39" s="51">
        <v>4654289</v>
      </c>
      <c r="E39" s="50">
        <v>4749332</v>
      </c>
      <c r="F39" s="50">
        <v>2842150</v>
      </c>
      <c r="M39" s="63"/>
    </row>
    <row r="40" spans="2:13" ht="13.5" outlineLevel="1" x14ac:dyDescent="0.2">
      <c r="B40" s="27" t="s">
        <v>575</v>
      </c>
      <c r="C40" s="51">
        <v>0</v>
      </c>
      <c r="D40" s="51">
        <v>1500</v>
      </c>
      <c r="E40" s="50">
        <v>6400</v>
      </c>
      <c r="F40" s="50">
        <v>0</v>
      </c>
      <c r="M40" s="63"/>
    </row>
    <row r="41" spans="2:13" ht="13.5" outlineLevel="1" x14ac:dyDescent="0.2">
      <c r="B41" s="27" t="s">
        <v>574</v>
      </c>
      <c r="C41" s="51">
        <v>1802771</v>
      </c>
      <c r="D41" s="51">
        <v>3765010</v>
      </c>
      <c r="E41" s="50">
        <v>5220383</v>
      </c>
      <c r="F41" s="50">
        <v>2884288</v>
      </c>
      <c r="M41" s="63"/>
    </row>
    <row r="42" spans="2:13" ht="13.5" outlineLevel="1" x14ac:dyDescent="0.2">
      <c r="B42" s="27" t="s">
        <v>576</v>
      </c>
      <c r="C42" s="51">
        <v>6570271</v>
      </c>
      <c r="D42" s="51">
        <v>12256754</v>
      </c>
      <c r="E42" s="50">
        <v>14214472</v>
      </c>
      <c r="F42" s="50">
        <v>7802166</v>
      </c>
      <c r="M42" s="63"/>
    </row>
    <row r="43" spans="2:13" ht="13.5" outlineLevel="1" x14ac:dyDescent="0.2">
      <c r="B43" s="27" t="s">
        <v>577</v>
      </c>
      <c r="C43" s="51">
        <v>1677407</v>
      </c>
      <c r="D43" s="51">
        <v>1566864</v>
      </c>
      <c r="E43" s="50">
        <v>1861070</v>
      </c>
      <c r="F43" s="50">
        <v>1190181</v>
      </c>
      <c r="M43" s="63"/>
    </row>
    <row r="44" spans="2:13" ht="13.5" outlineLevel="1" x14ac:dyDescent="0.2">
      <c r="B44" s="27" t="s">
        <v>578</v>
      </c>
      <c r="C44" s="51">
        <v>204676</v>
      </c>
      <c r="D44" s="51">
        <v>341832</v>
      </c>
      <c r="E44" s="50">
        <v>349413</v>
      </c>
      <c r="F44" s="50">
        <v>202866</v>
      </c>
      <c r="M44" s="63"/>
    </row>
    <row r="45" spans="2:13" ht="13.5" outlineLevel="1" x14ac:dyDescent="0.2">
      <c r="B45" s="27" t="s">
        <v>579</v>
      </c>
      <c r="C45" s="51">
        <v>855248</v>
      </c>
      <c r="D45" s="51">
        <v>1037155</v>
      </c>
      <c r="E45" s="50">
        <v>1140067</v>
      </c>
      <c r="F45" s="50">
        <v>751149</v>
      </c>
      <c r="M45" s="63"/>
    </row>
    <row r="46" spans="2:13" ht="13.5" outlineLevel="1" x14ac:dyDescent="0.2">
      <c r="B46" s="27" t="s">
        <v>580</v>
      </c>
      <c r="C46" s="51">
        <v>1219506</v>
      </c>
      <c r="D46" s="51">
        <v>193856</v>
      </c>
      <c r="E46" s="50">
        <v>199083</v>
      </c>
      <c r="F46" s="50">
        <v>130243</v>
      </c>
      <c r="M46" s="63"/>
    </row>
    <row r="47" spans="2:13" ht="13.5" outlineLevel="1" x14ac:dyDescent="0.2">
      <c r="B47" s="27" t="s">
        <v>581</v>
      </c>
      <c r="C47" s="51">
        <v>4835183</v>
      </c>
      <c r="D47" s="51">
        <v>9360366</v>
      </c>
      <c r="E47" s="50">
        <v>10811345</v>
      </c>
      <c r="F47" s="50">
        <v>6397078</v>
      </c>
      <c r="M47" s="63"/>
    </row>
    <row r="48" spans="2:13" ht="13.5" outlineLevel="1" x14ac:dyDescent="0.2">
      <c r="B48" s="27" t="s">
        <v>582</v>
      </c>
      <c r="C48" s="51">
        <v>751744</v>
      </c>
      <c r="D48" s="51">
        <v>1280700</v>
      </c>
      <c r="E48" s="50">
        <v>1659500</v>
      </c>
      <c r="F48" s="50">
        <v>922288</v>
      </c>
      <c r="M48" s="63"/>
    </row>
    <row r="49" spans="2:13" ht="13.5" outlineLevel="1" x14ac:dyDescent="0.2">
      <c r="B49" s="66" t="s">
        <v>583</v>
      </c>
      <c r="C49" s="52">
        <v>413477</v>
      </c>
      <c r="D49" s="52">
        <v>504020</v>
      </c>
      <c r="E49" s="67">
        <v>618270</v>
      </c>
      <c r="F49" s="67">
        <v>315982</v>
      </c>
      <c r="M49" s="64"/>
    </row>
    <row r="50" spans="2:13" ht="13.5" outlineLevel="1" x14ac:dyDescent="0.2">
      <c r="B50" s="39" t="s">
        <v>595</v>
      </c>
      <c r="C50" s="38">
        <v>0</v>
      </c>
      <c r="D50" s="38">
        <v>0</v>
      </c>
      <c r="E50" s="38">
        <v>0</v>
      </c>
      <c r="F50" s="36">
        <v>975474</v>
      </c>
      <c r="M50" s="64"/>
    </row>
    <row r="51" spans="2:13" ht="13.5" outlineLevel="1" x14ac:dyDescent="0.2">
      <c r="B51" s="68" t="s">
        <v>590</v>
      </c>
      <c r="C51" s="69">
        <v>62117629</v>
      </c>
      <c r="D51" s="69">
        <v>93996788</v>
      </c>
      <c r="E51" s="70">
        <v>106092958</v>
      </c>
      <c r="F51" s="70">
        <v>64075316</v>
      </c>
      <c r="M51" s="65"/>
    </row>
    <row r="52" spans="2:13" ht="13.5" x14ac:dyDescent="0.2">
      <c r="C52" s="55"/>
      <c r="D52" s="55"/>
      <c r="E52" s="55"/>
      <c r="F52" s="55"/>
      <c r="M52" s="65"/>
    </row>
    <row r="53" spans="2:13" s="3" customFormat="1" x14ac:dyDescent="0.2">
      <c r="B53" s="62" t="s">
        <v>596</v>
      </c>
    </row>
    <row r="54" spans="2:13" hidden="1" outlineLevel="1" x14ac:dyDescent="0.2">
      <c r="B54" s="28" t="s">
        <v>566</v>
      </c>
    </row>
    <row r="55" spans="2:13" hidden="1" outlineLevel="1" x14ac:dyDescent="0.2">
      <c r="B55" s="29" t="s">
        <v>567</v>
      </c>
      <c r="C55" s="33">
        <v>2018</v>
      </c>
      <c r="D55" s="32">
        <v>2019</v>
      </c>
      <c r="E55" s="31">
        <v>2020</v>
      </c>
      <c r="F55" s="30" t="s">
        <v>306</v>
      </c>
    </row>
    <row r="56" spans="2:13" hidden="1" outlineLevel="1" x14ac:dyDescent="0.2">
      <c r="B56" s="34" t="s">
        <v>568</v>
      </c>
      <c r="C56" s="42">
        <v>0</v>
      </c>
      <c r="D56" s="41">
        <v>0</v>
      </c>
      <c r="E56" s="40">
        <v>0</v>
      </c>
      <c r="F56" s="40">
        <v>0</v>
      </c>
    </row>
    <row r="57" spans="2:13" hidden="1" outlineLevel="1" x14ac:dyDescent="0.2">
      <c r="B57" s="34" t="s">
        <v>569</v>
      </c>
      <c r="C57" s="36">
        <v>0</v>
      </c>
      <c r="D57" s="43">
        <v>0</v>
      </c>
      <c r="E57" s="40">
        <v>0</v>
      </c>
      <c r="F57" s="40">
        <v>0</v>
      </c>
    </row>
    <row r="58" spans="2:13" hidden="1" outlineLevel="1" x14ac:dyDescent="0.2">
      <c r="B58" s="34" t="s">
        <v>570</v>
      </c>
      <c r="C58" s="44">
        <f>C33+C34</f>
        <v>27995015</v>
      </c>
      <c r="D58" s="44">
        <f>D33+D34</f>
        <v>44042751</v>
      </c>
      <c r="E58" s="44">
        <f>E33+E34</f>
        <v>49239872</v>
      </c>
      <c r="F58" s="44">
        <f>F33+F34</f>
        <v>29933465</v>
      </c>
    </row>
    <row r="59" spans="2:13" hidden="1" outlineLevel="1" x14ac:dyDescent="0.2">
      <c r="B59" s="34" t="s">
        <v>571</v>
      </c>
      <c r="C59" s="41">
        <f t="shared" ref="C59:F61" si="1">C35</f>
        <v>2999708</v>
      </c>
      <c r="D59" s="41">
        <f t="shared" si="1"/>
        <v>4883806</v>
      </c>
      <c r="E59" s="41">
        <f t="shared" si="1"/>
        <v>4791542</v>
      </c>
      <c r="F59" s="41">
        <f t="shared" si="1"/>
        <v>3111239</v>
      </c>
    </row>
    <row r="60" spans="2:13" hidden="1" outlineLevel="1" x14ac:dyDescent="0.2">
      <c r="B60" s="34" t="s">
        <v>572</v>
      </c>
      <c r="C60" s="41">
        <f t="shared" si="1"/>
        <v>811035</v>
      </c>
      <c r="D60" s="41">
        <f t="shared" si="1"/>
        <v>1648621</v>
      </c>
      <c r="E60" s="41">
        <f t="shared" si="1"/>
        <v>1293548</v>
      </c>
      <c r="F60" s="41">
        <f t="shared" si="1"/>
        <v>721307</v>
      </c>
    </row>
    <row r="61" spans="2:13" hidden="1" outlineLevel="1" x14ac:dyDescent="0.2">
      <c r="B61" s="34" t="s">
        <v>573</v>
      </c>
      <c r="C61" s="41">
        <f t="shared" si="1"/>
        <v>298819</v>
      </c>
      <c r="D61" s="41">
        <f t="shared" si="1"/>
        <v>406295</v>
      </c>
      <c r="E61" s="41">
        <f t="shared" si="1"/>
        <v>306753</v>
      </c>
      <c r="F61" s="41">
        <f t="shared" si="1"/>
        <v>182523</v>
      </c>
    </row>
    <row r="62" spans="2:13" hidden="1" outlineLevel="1" x14ac:dyDescent="0.2">
      <c r="B62" s="34" t="s">
        <v>574</v>
      </c>
      <c r="C62" s="41">
        <f>C41</f>
        <v>1802771</v>
      </c>
      <c r="D62" s="41">
        <f>D41</f>
        <v>3765010</v>
      </c>
      <c r="E62" s="41">
        <f>E41</f>
        <v>5220383</v>
      </c>
      <c r="F62" s="41">
        <f>F41</f>
        <v>2884288</v>
      </c>
    </row>
    <row r="63" spans="2:13" hidden="1" outlineLevel="1" x14ac:dyDescent="0.2">
      <c r="B63" s="34" t="s">
        <v>575</v>
      </c>
      <c r="C63" s="41">
        <f>C40</f>
        <v>0</v>
      </c>
      <c r="D63" s="41">
        <f>D40</f>
        <v>1500</v>
      </c>
      <c r="E63" s="41">
        <f>E40</f>
        <v>6400</v>
      </c>
      <c r="F63" s="41">
        <f>F40</f>
        <v>0</v>
      </c>
    </row>
    <row r="64" spans="2:13" hidden="1" outlineLevel="1" x14ac:dyDescent="0.2">
      <c r="B64" s="34" t="s">
        <v>576</v>
      </c>
      <c r="C64" s="41">
        <f t="shared" ref="C64:F71" si="2">C42</f>
        <v>6570271</v>
      </c>
      <c r="D64" s="41">
        <f t="shared" si="2"/>
        <v>12256754</v>
      </c>
      <c r="E64" s="41">
        <f t="shared" si="2"/>
        <v>14214472</v>
      </c>
      <c r="F64" s="41">
        <f t="shared" si="2"/>
        <v>7802166</v>
      </c>
    </row>
    <row r="65" spans="2:6" hidden="1" outlineLevel="1" x14ac:dyDescent="0.2">
      <c r="B65" s="34" t="s">
        <v>577</v>
      </c>
      <c r="C65" s="41">
        <f t="shared" si="2"/>
        <v>1677407</v>
      </c>
      <c r="D65" s="41">
        <f t="shared" si="2"/>
        <v>1566864</v>
      </c>
      <c r="E65" s="41">
        <f t="shared" si="2"/>
        <v>1861070</v>
      </c>
      <c r="F65" s="41">
        <f t="shared" si="2"/>
        <v>1190181</v>
      </c>
    </row>
    <row r="66" spans="2:6" hidden="1" outlineLevel="1" x14ac:dyDescent="0.2">
      <c r="B66" s="34" t="s">
        <v>578</v>
      </c>
      <c r="C66" s="41">
        <f t="shared" si="2"/>
        <v>204676</v>
      </c>
      <c r="D66" s="41">
        <f t="shared" si="2"/>
        <v>341832</v>
      </c>
      <c r="E66" s="41">
        <f t="shared" si="2"/>
        <v>349413</v>
      </c>
      <c r="F66" s="41">
        <f t="shared" si="2"/>
        <v>202866</v>
      </c>
    </row>
    <row r="67" spans="2:6" hidden="1" outlineLevel="1" x14ac:dyDescent="0.2">
      <c r="B67" s="34" t="s">
        <v>579</v>
      </c>
      <c r="C67" s="41">
        <f t="shared" si="2"/>
        <v>855248</v>
      </c>
      <c r="D67" s="41">
        <f t="shared" si="2"/>
        <v>1037155</v>
      </c>
      <c r="E67" s="41">
        <f t="shared" si="2"/>
        <v>1140067</v>
      </c>
      <c r="F67" s="41">
        <f t="shared" si="2"/>
        <v>751149</v>
      </c>
    </row>
    <row r="68" spans="2:6" hidden="1" outlineLevel="1" x14ac:dyDescent="0.2">
      <c r="B68" s="34" t="s">
        <v>580</v>
      </c>
      <c r="C68" s="41">
        <f t="shared" si="2"/>
        <v>1219506</v>
      </c>
      <c r="D68" s="41">
        <f t="shared" si="2"/>
        <v>193856</v>
      </c>
      <c r="E68" s="41">
        <f t="shared" si="2"/>
        <v>199083</v>
      </c>
      <c r="F68" s="41">
        <f t="shared" si="2"/>
        <v>130243</v>
      </c>
    </row>
    <row r="69" spans="2:6" hidden="1" outlineLevel="1" x14ac:dyDescent="0.2">
      <c r="B69" s="34" t="s">
        <v>581</v>
      </c>
      <c r="C69" s="41">
        <f t="shared" si="2"/>
        <v>4835183</v>
      </c>
      <c r="D69" s="41">
        <f t="shared" si="2"/>
        <v>9360366</v>
      </c>
      <c r="E69" s="41">
        <f t="shared" si="2"/>
        <v>10811345</v>
      </c>
      <c r="F69" s="41">
        <f t="shared" si="2"/>
        <v>6397078</v>
      </c>
    </row>
    <row r="70" spans="2:6" hidden="1" outlineLevel="1" x14ac:dyDescent="0.2">
      <c r="B70" s="34" t="s">
        <v>582</v>
      </c>
      <c r="C70" s="41">
        <f t="shared" si="2"/>
        <v>751744</v>
      </c>
      <c r="D70" s="41">
        <f t="shared" si="2"/>
        <v>1280700</v>
      </c>
      <c r="E70" s="41">
        <f t="shared" si="2"/>
        <v>1659500</v>
      </c>
      <c r="F70" s="41">
        <f t="shared" si="2"/>
        <v>922288</v>
      </c>
    </row>
    <row r="71" spans="2:6" hidden="1" outlineLevel="1" x14ac:dyDescent="0.2">
      <c r="B71" s="34" t="s">
        <v>583</v>
      </c>
      <c r="C71" s="41">
        <f t="shared" si="2"/>
        <v>413477</v>
      </c>
      <c r="D71" s="41">
        <f t="shared" si="2"/>
        <v>504020</v>
      </c>
      <c r="E71" s="41">
        <f t="shared" si="2"/>
        <v>618270</v>
      </c>
      <c r="F71" s="41">
        <f t="shared" si="2"/>
        <v>315982</v>
      </c>
    </row>
    <row r="72" spans="2:6" hidden="1" outlineLevel="1" x14ac:dyDescent="0.2">
      <c r="B72" s="34" t="s">
        <v>584</v>
      </c>
      <c r="C72" s="41">
        <v>0</v>
      </c>
      <c r="D72" s="41">
        <v>0</v>
      </c>
      <c r="E72" s="41">
        <v>0</v>
      </c>
      <c r="F72" s="41">
        <v>0</v>
      </c>
    </row>
    <row r="73" spans="2:6" hidden="1" outlineLevel="1" x14ac:dyDescent="0.2">
      <c r="B73" s="34" t="s">
        <v>585</v>
      </c>
      <c r="C73" s="41">
        <v>0</v>
      </c>
      <c r="D73" s="41">
        <v>0</v>
      </c>
      <c r="E73" s="41">
        <v>0</v>
      </c>
      <c r="F73" s="41">
        <v>0</v>
      </c>
    </row>
    <row r="74" spans="2:6" hidden="1" outlineLevel="1" x14ac:dyDescent="0.2">
      <c r="B74" s="34" t="s">
        <v>586</v>
      </c>
      <c r="C74" s="42">
        <v>0</v>
      </c>
      <c r="D74" s="42">
        <v>0</v>
      </c>
      <c r="E74" s="42">
        <v>0</v>
      </c>
      <c r="F74" s="42">
        <v>0</v>
      </c>
    </row>
    <row r="75" spans="2:6" hidden="1" outlineLevel="1" x14ac:dyDescent="0.2">
      <c r="B75" s="34" t="s">
        <v>587</v>
      </c>
      <c r="C75" s="36">
        <f>C50</f>
        <v>0</v>
      </c>
      <c r="D75" s="36">
        <f t="shared" ref="D75:F75" si="3">D50</f>
        <v>0</v>
      </c>
      <c r="E75" s="36">
        <f t="shared" si="3"/>
        <v>0</v>
      </c>
      <c r="F75" s="36">
        <f t="shared" si="3"/>
        <v>975474</v>
      </c>
    </row>
    <row r="76" spans="2:6" hidden="1" outlineLevel="1" x14ac:dyDescent="0.2">
      <c r="B76" s="34" t="s">
        <v>588</v>
      </c>
      <c r="C76" s="36">
        <v>0</v>
      </c>
      <c r="D76" s="36">
        <v>0</v>
      </c>
      <c r="E76" s="36">
        <v>0</v>
      </c>
      <c r="F76" s="36">
        <v>0</v>
      </c>
    </row>
    <row r="77" spans="2:6" hidden="1" outlineLevel="1" x14ac:dyDescent="0.2">
      <c r="B77" s="34" t="s">
        <v>589</v>
      </c>
      <c r="C77" s="44">
        <f>C78-SUM(C56:C76)</f>
        <v>11682769</v>
      </c>
      <c r="D77" s="44">
        <f>D78-SUM(D56:D76)</f>
        <v>12707258</v>
      </c>
      <c r="E77" s="44">
        <f>E78-SUM(E56:E76)</f>
        <v>14381240</v>
      </c>
      <c r="F77" s="44">
        <f>F78-SUM(F56:F76)</f>
        <v>8555067</v>
      </c>
    </row>
    <row r="78" spans="2:6" hidden="1" outlineLevel="1" x14ac:dyDescent="0.2">
      <c r="B78" s="37" t="s">
        <v>590</v>
      </c>
      <c r="C78" s="47">
        <f>C51</f>
        <v>62117629</v>
      </c>
      <c r="D78" s="47">
        <f>D51</f>
        <v>93996788</v>
      </c>
      <c r="E78" s="47">
        <f>E51</f>
        <v>106092958</v>
      </c>
      <c r="F78" s="47">
        <f>F51</f>
        <v>64075316</v>
      </c>
    </row>
    <row r="79" spans="2:6" collapsed="1" x14ac:dyDescent="0.2">
      <c r="C79" s="45"/>
      <c r="D79" s="45"/>
      <c r="E79" s="45"/>
      <c r="F79" s="45"/>
    </row>
    <row r="80" spans="2:6" s="3" customFormat="1" x14ac:dyDescent="0.2">
      <c r="B80" s="62" t="s">
        <v>597</v>
      </c>
    </row>
    <row r="81" spans="2:6" hidden="1" outlineLevel="1" x14ac:dyDescent="0.2">
      <c r="B81" s="28" t="s">
        <v>566</v>
      </c>
    </row>
    <row r="82" spans="2:6" hidden="1" outlineLevel="1" x14ac:dyDescent="0.2">
      <c r="B82" s="29" t="s">
        <v>567</v>
      </c>
      <c r="C82" s="33">
        <v>2018</v>
      </c>
      <c r="D82" s="32">
        <v>2019</v>
      </c>
      <c r="E82" s="31">
        <v>2020</v>
      </c>
      <c r="F82" s="30" t="s">
        <v>306</v>
      </c>
    </row>
    <row r="83" spans="2:6" hidden="1" outlineLevel="1" x14ac:dyDescent="0.2">
      <c r="B83" s="34" t="s">
        <v>568</v>
      </c>
      <c r="C83" s="159">
        <f>C6-C56</f>
        <v>663748170</v>
      </c>
      <c r="D83" s="160">
        <f t="shared" ref="D83:F83" si="4">D6-D56</f>
        <v>-25034444</v>
      </c>
      <c r="E83" s="161">
        <f t="shared" si="4"/>
        <v>-11093619</v>
      </c>
      <c r="F83" s="161">
        <f t="shared" si="4"/>
        <v>-4234879</v>
      </c>
    </row>
    <row r="84" spans="2:6" hidden="1" outlineLevel="1" x14ac:dyDescent="0.2">
      <c r="B84" s="34" t="s">
        <v>569</v>
      </c>
      <c r="C84" s="162">
        <f t="shared" ref="C84:F84" si="5">C7-C57</f>
        <v>0</v>
      </c>
      <c r="D84" s="163">
        <f t="shared" si="5"/>
        <v>1078556109</v>
      </c>
      <c r="E84" s="164">
        <f t="shared" si="5"/>
        <v>1181155177</v>
      </c>
      <c r="F84" s="164">
        <f t="shared" si="5"/>
        <v>788348233</v>
      </c>
    </row>
    <row r="85" spans="2:6" hidden="1" outlineLevel="1" x14ac:dyDescent="0.2">
      <c r="B85" s="34" t="s">
        <v>570</v>
      </c>
      <c r="C85" s="165">
        <f t="shared" ref="C85:F85" si="6">C8-C58</f>
        <v>0</v>
      </c>
      <c r="D85" s="165">
        <f t="shared" si="6"/>
        <v>0</v>
      </c>
      <c r="E85" s="165">
        <f t="shared" si="6"/>
        <v>0</v>
      </c>
      <c r="F85" s="165">
        <f t="shared" si="6"/>
        <v>0</v>
      </c>
    </row>
    <row r="86" spans="2:6" hidden="1" outlineLevel="1" x14ac:dyDescent="0.2">
      <c r="B86" s="34" t="s">
        <v>571</v>
      </c>
      <c r="C86" s="166">
        <f t="shared" ref="C86:F86" si="7">C9-C59</f>
        <v>0</v>
      </c>
      <c r="D86" s="166">
        <f t="shared" si="7"/>
        <v>0</v>
      </c>
      <c r="E86" s="166">
        <f t="shared" si="7"/>
        <v>0</v>
      </c>
      <c r="F86" s="166">
        <f t="shared" si="7"/>
        <v>0</v>
      </c>
    </row>
    <row r="87" spans="2:6" hidden="1" outlineLevel="1" x14ac:dyDescent="0.2">
      <c r="B87" s="34" t="s">
        <v>572</v>
      </c>
      <c r="C87" s="166">
        <f t="shared" ref="C87:F87" si="8">C10-C60</f>
        <v>0</v>
      </c>
      <c r="D87" s="166">
        <f t="shared" si="8"/>
        <v>0</v>
      </c>
      <c r="E87" s="166">
        <f t="shared" si="8"/>
        <v>0</v>
      </c>
      <c r="F87" s="166">
        <f t="shared" si="8"/>
        <v>0</v>
      </c>
    </row>
    <row r="88" spans="2:6" hidden="1" outlineLevel="1" x14ac:dyDescent="0.2">
      <c r="B88" s="34" t="s">
        <v>573</v>
      </c>
      <c r="C88" s="166">
        <f t="shared" ref="C88:F88" si="9">C11-C61</f>
        <v>0</v>
      </c>
      <c r="D88" s="166">
        <f t="shared" si="9"/>
        <v>0</v>
      </c>
      <c r="E88" s="166">
        <f t="shared" si="9"/>
        <v>0</v>
      </c>
      <c r="F88" s="166">
        <f t="shared" si="9"/>
        <v>0</v>
      </c>
    </row>
    <row r="89" spans="2:6" hidden="1" outlineLevel="1" x14ac:dyDescent="0.2">
      <c r="B89" s="34" t="s">
        <v>574</v>
      </c>
      <c r="C89" s="166">
        <f t="shared" ref="C89:F89" si="10">C12-C62</f>
        <v>0</v>
      </c>
      <c r="D89" s="166">
        <f t="shared" si="10"/>
        <v>0</v>
      </c>
      <c r="E89" s="166">
        <f t="shared" si="10"/>
        <v>0</v>
      </c>
      <c r="F89" s="166">
        <f t="shared" si="10"/>
        <v>84994</v>
      </c>
    </row>
    <row r="90" spans="2:6" hidden="1" outlineLevel="1" x14ac:dyDescent="0.2">
      <c r="B90" s="34" t="s">
        <v>575</v>
      </c>
      <c r="C90" s="166">
        <f t="shared" ref="C90:F90" si="11">C13-C63</f>
        <v>0</v>
      </c>
      <c r="D90" s="166">
        <f t="shared" si="11"/>
        <v>0</v>
      </c>
      <c r="E90" s="166">
        <f t="shared" si="11"/>
        <v>0</v>
      </c>
      <c r="F90" s="166">
        <f t="shared" si="11"/>
        <v>0</v>
      </c>
    </row>
    <row r="91" spans="2:6" hidden="1" outlineLevel="1" x14ac:dyDescent="0.2">
      <c r="B91" s="34" t="s">
        <v>576</v>
      </c>
      <c r="C91" s="166">
        <f t="shared" ref="C91:F91" si="12">C14-C64</f>
        <v>110363</v>
      </c>
      <c r="D91" s="166">
        <f t="shared" si="12"/>
        <v>1</v>
      </c>
      <c r="E91" s="166">
        <f t="shared" si="12"/>
        <v>0</v>
      </c>
      <c r="F91" s="166">
        <f t="shared" si="12"/>
        <v>10999862</v>
      </c>
    </row>
    <row r="92" spans="2:6" hidden="1" outlineLevel="1" x14ac:dyDescent="0.2">
      <c r="B92" s="34" t="s">
        <v>577</v>
      </c>
      <c r="C92" s="166">
        <f t="shared" ref="C92:F92" si="13">C15-C65</f>
        <v>0</v>
      </c>
      <c r="D92" s="166">
        <f t="shared" si="13"/>
        <v>0</v>
      </c>
      <c r="E92" s="166">
        <f t="shared" si="13"/>
        <v>0</v>
      </c>
      <c r="F92" s="166">
        <f t="shared" si="13"/>
        <v>0</v>
      </c>
    </row>
    <row r="93" spans="2:6" hidden="1" outlineLevel="1" x14ac:dyDescent="0.2">
      <c r="B93" s="34" t="s">
        <v>578</v>
      </c>
      <c r="C93" s="166">
        <f t="shared" ref="C93:F93" si="14">C16-C66</f>
        <v>30725</v>
      </c>
      <c r="D93" s="166">
        <f t="shared" si="14"/>
        <v>0</v>
      </c>
      <c r="E93" s="166">
        <f t="shared" si="14"/>
        <v>0</v>
      </c>
      <c r="F93" s="166">
        <f t="shared" si="14"/>
        <v>1369692</v>
      </c>
    </row>
    <row r="94" spans="2:6" hidden="1" outlineLevel="1" x14ac:dyDescent="0.2">
      <c r="B94" s="34" t="s">
        <v>579</v>
      </c>
      <c r="C94" s="166">
        <f t="shared" ref="C94:F94" si="15">C17-C67</f>
        <v>0</v>
      </c>
      <c r="D94" s="166">
        <f t="shared" si="15"/>
        <v>0</v>
      </c>
      <c r="E94" s="166">
        <f t="shared" si="15"/>
        <v>0</v>
      </c>
      <c r="F94" s="166">
        <f t="shared" si="15"/>
        <v>20495</v>
      </c>
    </row>
    <row r="95" spans="2:6" hidden="1" outlineLevel="1" x14ac:dyDescent="0.2">
      <c r="B95" s="34" t="s">
        <v>580</v>
      </c>
      <c r="C95" s="166">
        <f t="shared" ref="C95:F95" si="16">C18-C68</f>
        <v>358337</v>
      </c>
      <c r="D95" s="166">
        <f t="shared" si="16"/>
        <v>0</v>
      </c>
      <c r="E95" s="166">
        <f t="shared" si="16"/>
        <v>0</v>
      </c>
      <c r="F95" s="166">
        <f t="shared" si="16"/>
        <v>2596890</v>
      </c>
    </row>
    <row r="96" spans="2:6" hidden="1" outlineLevel="1" x14ac:dyDescent="0.2">
      <c r="B96" s="34" t="s">
        <v>581</v>
      </c>
      <c r="C96" s="166">
        <f t="shared" ref="C96:F96" si="17">C19-C69</f>
        <v>1203371</v>
      </c>
      <c r="D96" s="166">
        <f t="shared" si="17"/>
        <v>0</v>
      </c>
      <c r="E96" s="166">
        <f t="shared" si="17"/>
        <v>0</v>
      </c>
      <c r="F96" s="166">
        <f t="shared" si="17"/>
        <v>1210240</v>
      </c>
    </row>
    <row r="97" spans="2:6" hidden="1" outlineLevel="1" x14ac:dyDescent="0.2">
      <c r="B97" s="34" t="s">
        <v>582</v>
      </c>
      <c r="C97" s="166">
        <f t="shared" ref="C97:F97" si="18">C20-C70</f>
        <v>0</v>
      </c>
      <c r="D97" s="166">
        <f t="shared" si="18"/>
        <v>0</v>
      </c>
      <c r="E97" s="166">
        <f t="shared" si="18"/>
        <v>0</v>
      </c>
      <c r="F97" s="166">
        <f t="shared" si="18"/>
        <v>0</v>
      </c>
    </row>
    <row r="98" spans="2:6" hidden="1" outlineLevel="1" x14ac:dyDescent="0.2">
      <c r="B98" s="34" t="s">
        <v>583</v>
      </c>
      <c r="C98" s="166">
        <f t="shared" ref="C98:F98" si="19">C21-C71</f>
        <v>0</v>
      </c>
      <c r="D98" s="166">
        <f t="shared" si="19"/>
        <v>0</v>
      </c>
      <c r="E98" s="166">
        <f t="shared" si="19"/>
        <v>0</v>
      </c>
      <c r="F98" s="166">
        <f t="shared" si="19"/>
        <v>0</v>
      </c>
    </row>
    <row r="99" spans="2:6" hidden="1" outlineLevel="1" x14ac:dyDescent="0.2">
      <c r="B99" s="34" t="s">
        <v>584</v>
      </c>
      <c r="C99" s="166">
        <f t="shared" ref="C99:F99" si="20">C22-C72</f>
        <v>232945</v>
      </c>
      <c r="D99" s="166">
        <f t="shared" si="20"/>
        <v>267440</v>
      </c>
      <c r="E99" s="166">
        <f t="shared" si="20"/>
        <v>376683</v>
      </c>
      <c r="F99" s="166">
        <f t="shared" si="20"/>
        <v>153236</v>
      </c>
    </row>
    <row r="100" spans="2:6" hidden="1" outlineLevel="1" x14ac:dyDescent="0.2">
      <c r="B100" s="34" t="s">
        <v>585</v>
      </c>
      <c r="C100" s="166">
        <f t="shared" ref="C100:F100" si="21">C23-C73</f>
        <v>468221</v>
      </c>
      <c r="D100" s="166">
        <f t="shared" si="21"/>
        <v>594292</v>
      </c>
      <c r="E100" s="166">
        <f t="shared" si="21"/>
        <v>693463</v>
      </c>
      <c r="F100" s="166">
        <f t="shared" si="21"/>
        <v>349912</v>
      </c>
    </row>
    <row r="101" spans="2:6" hidden="1" outlineLevel="1" x14ac:dyDescent="0.2">
      <c r="B101" s="34" t="s">
        <v>586</v>
      </c>
      <c r="C101" s="167">
        <f t="shared" ref="C101:F101" si="22">C24-C74</f>
        <v>3856243</v>
      </c>
      <c r="D101" s="167">
        <f t="shared" si="22"/>
        <v>4812931</v>
      </c>
      <c r="E101" s="167">
        <f t="shared" si="22"/>
        <v>3766917</v>
      </c>
      <c r="F101" s="167">
        <f t="shared" si="22"/>
        <v>1813818</v>
      </c>
    </row>
    <row r="102" spans="2:6" hidden="1" outlineLevel="1" x14ac:dyDescent="0.2">
      <c r="B102" s="34" t="s">
        <v>587</v>
      </c>
      <c r="C102" s="162">
        <f t="shared" ref="C102:F102" si="23">C25-C75</f>
        <v>0</v>
      </c>
      <c r="D102" s="162">
        <f t="shared" si="23"/>
        <v>0</v>
      </c>
      <c r="E102" s="162">
        <f t="shared" si="23"/>
        <v>0</v>
      </c>
      <c r="F102" s="162">
        <f t="shared" si="23"/>
        <v>0</v>
      </c>
    </row>
    <row r="103" spans="2:6" hidden="1" outlineLevel="1" x14ac:dyDescent="0.2">
      <c r="B103" s="34" t="s">
        <v>588</v>
      </c>
      <c r="C103" s="162">
        <f t="shared" ref="C103:F103" si="24">C26-C76</f>
        <v>0</v>
      </c>
      <c r="D103" s="162">
        <f t="shared" si="24"/>
        <v>0</v>
      </c>
      <c r="E103" s="162">
        <f t="shared" si="24"/>
        <v>0</v>
      </c>
      <c r="F103" s="162">
        <f t="shared" si="24"/>
        <v>4368328</v>
      </c>
    </row>
    <row r="104" spans="2:6" hidden="1" outlineLevel="1" x14ac:dyDescent="0.2">
      <c r="B104" s="34" t="s">
        <v>589</v>
      </c>
      <c r="C104" s="165">
        <f t="shared" ref="C104:F104" si="25">C27-C77</f>
        <v>11258</v>
      </c>
      <c r="D104" s="165">
        <f t="shared" si="25"/>
        <v>2957695</v>
      </c>
      <c r="E104" s="165">
        <f t="shared" si="25"/>
        <v>4423810</v>
      </c>
      <c r="F104" s="165">
        <f t="shared" si="25"/>
        <v>949888</v>
      </c>
    </row>
    <row r="105" spans="2:6" hidden="1" outlineLevel="1" x14ac:dyDescent="0.2">
      <c r="B105" s="37" t="s">
        <v>590</v>
      </c>
      <c r="C105" s="168">
        <f t="shared" ref="C105:F105" si="26">C28-C78</f>
        <v>670019633</v>
      </c>
      <c r="D105" s="168">
        <f t="shared" si="26"/>
        <v>1062154024</v>
      </c>
      <c r="E105" s="168">
        <f t="shared" si="26"/>
        <v>1179322431</v>
      </c>
      <c r="F105" s="168">
        <f t="shared" si="26"/>
        <v>808030709</v>
      </c>
    </row>
    <row r="106" spans="2:6" collapsed="1" x14ac:dyDescent="0.2"/>
  </sheetData>
  <phoneticPr fontId="2" type="noConversion"/>
  <hyperlinks>
    <hyperlink ref="C1" location="Index!A1" display="Index!A1" xr:uid="{3AC3F345-8F6E-49A9-B498-D94DA7D27515}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E894C-0E21-4806-A2F4-069145306343}">
  <dimension ref="B1:I26"/>
  <sheetViews>
    <sheetView showGridLines="0" workbookViewId="0">
      <selection activeCell="C1" sqref="C1"/>
    </sheetView>
  </sheetViews>
  <sheetFormatPr defaultColWidth="9.28515625" defaultRowHeight="12" x14ac:dyDescent="0.2"/>
  <cols>
    <col min="1" max="1" width="1.7109375" style="1" customWidth="1"/>
    <col min="2" max="2" width="16.85546875" style="1" customWidth="1"/>
    <col min="3" max="3" width="16" style="1" customWidth="1"/>
    <col min="4" max="4" width="22.85546875" style="1" customWidth="1"/>
    <col min="5" max="5" width="16.42578125" style="1" customWidth="1"/>
    <col min="6" max="6" width="10" style="1" bestFit="1" customWidth="1"/>
    <col min="7" max="8" width="12.28515625" style="1" bestFit="1" customWidth="1"/>
    <col min="9" max="9" width="10.140625" style="1" customWidth="1"/>
    <col min="10" max="16384" width="9.28515625" style="1"/>
  </cols>
  <sheetData>
    <row r="1" spans="2:9" ht="15" x14ac:dyDescent="0.2">
      <c r="B1" s="25" t="s">
        <v>598</v>
      </c>
      <c r="C1" s="614" t="s">
        <v>0</v>
      </c>
    </row>
    <row r="4" spans="2:9" x14ac:dyDescent="0.2">
      <c r="B4" s="28" t="s">
        <v>599</v>
      </c>
    </row>
    <row r="5" spans="2:9" x14ac:dyDescent="0.2">
      <c r="B5" s="101" t="s">
        <v>527</v>
      </c>
      <c r="C5" s="102" t="s">
        <v>600</v>
      </c>
      <c r="D5" s="102" t="s">
        <v>601</v>
      </c>
      <c r="E5" s="102" t="s">
        <v>602</v>
      </c>
      <c r="F5" s="103">
        <v>2018</v>
      </c>
      <c r="G5" s="102">
        <v>2019</v>
      </c>
      <c r="H5" s="102">
        <v>2020</v>
      </c>
      <c r="I5" s="102" t="s">
        <v>306</v>
      </c>
    </row>
    <row r="6" spans="2:9" ht="13.15" customHeight="1" x14ac:dyDescent="0.2">
      <c r="B6" s="712" t="s">
        <v>603</v>
      </c>
      <c r="C6" s="727" t="s">
        <v>604</v>
      </c>
      <c r="D6" s="727" t="s">
        <v>605</v>
      </c>
      <c r="E6" s="104" t="s">
        <v>606</v>
      </c>
      <c r="F6" s="105">
        <v>155662</v>
      </c>
      <c r="G6" s="35">
        <v>284782</v>
      </c>
      <c r="H6" s="35">
        <v>408225</v>
      </c>
      <c r="I6" s="35">
        <v>322919</v>
      </c>
    </row>
    <row r="7" spans="2:9" x14ac:dyDescent="0.2">
      <c r="B7" s="713"/>
      <c r="C7" s="728"/>
      <c r="D7" s="728"/>
      <c r="E7" s="104" t="s">
        <v>607</v>
      </c>
      <c r="F7" s="105">
        <v>518742</v>
      </c>
      <c r="G7" s="35">
        <v>786019</v>
      </c>
      <c r="H7" s="35">
        <v>776425</v>
      </c>
      <c r="I7" s="35">
        <v>469142</v>
      </c>
    </row>
    <row r="8" spans="2:9" x14ac:dyDescent="0.2">
      <c r="B8" s="713"/>
      <c r="C8" s="728"/>
      <c r="D8" s="728"/>
      <c r="E8" s="104" t="s">
        <v>282</v>
      </c>
      <c r="F8" s="105">
        <v>47395</v>
      </c>
      <c r="G8" s="35">
        <v>76145</v>
      </c>
      <c r="H8" s="35">
        <v>92450</v>
      </c>
      <c r="I8" s="35">
        <v>65592</v>
      </c>
    </row>
    <row r="9" spans="2:9" x14ac:dyDescent="0.2">
      <c r="B9" s="713"/>
      <c r="C9" s="729"/>
      <c r="D9" s="729"/>
      <c r="E9" s="104" t="s">
        <v>608</v>
      </c>
      <c r="F9" s="105">
        <v>721799</v>
      </c>
      <c r="G9" s="35">
        <v>1146945</v>
      </c>
      <c r="H9" s="35">
        <v>1277100</v>
      </c>
      <c r="I9" s="35">
        <v>857653</v>
      </c>
    </row>
    <row r="10" spans="2:9" ht="13.15" customHeight="1" x14ac:dyDescent="0.2">
      <c r="B10" s="713"/>
      <c r="C10" s="727" t="s">
        <v>609</v>
      </c>
      <c r="D10" s="727" t="s">
        <v>610</v>
      </c>
      <c r="E10" s="104" t="s">
        <v>606</v>
      </c>
      <c r="F10" s="105">
        <v>3536</v>
      </c>
      <c r="G10" s="35">
        <v>8426</v>
      </c>
      <c r="H10" s="35">
        <v>12754</v>
      </c>
      <c r="I10" s="35">
        <v>10354</v>
      </c>
    </row>
    <row r="11" spans="2:9" x14ac:dyDescent="0.2">
      <c r="B11" s="713"/>
      <c r="C11" s="728"/>
      <c r="D11" s="728"/>
      <c r="E11" s="104" t="s">
        <v>607</v>
      </c>
      <c r="F11" s="105">
        <v>12724</v>
      </c>
      <c r="G11" s="35">
        <v>21736</v>
      </c>
      <c r="H11" s="35">
        <v>23630</v>
      </c>
      <c r="I11" s="35">
        <v>13891</v>
      </c>
    </row>
    <row r="12" spans="2:9" x14ac:dyDescent="0.2">
      <c r="B12" s="713"/>
      <c r="C12" s="728"/>
      <c r="D12" s="728"/>
      <c r="E12" s="104" t="s">
        <v>282</v>
      </c>
      <c r="F12" s="105">
        <v>3151</v>
      </c>
      <c r="G12" s="35">
        <v>4821</v>
      </c>
      <c r="H12" s="35">
        <v>5599</v>
      </c>
      <c r="I12" s="35">
        <v>3580</v>
      </c>
    </row>
    <row r="13" spans="2:9" x14ac:dyDescent="0.2">
      <c r="B13" s="713"/>
      <c r="C13" s="729"/>
      <c r="D13" s="729"/>
      <c r="E13" s="104" t="s">
        <v>608</v>
      </c>
      <c r="F13" s="105">
        <v>19411</v>
      </c>
      <c r="G13" s="35">
        <v>34983</v>
      </c>
      <c r="H13" s="35">
        <v>41983</v>
      </c>
      <c r="I13" s="35">
        <v>27824</v>
      </c>
    </row>
    <row r="14" spans="2:9" x14ac:dyDescent="0.2">
      <c r="B14" s="713"/>
      <c r="C14" s="104" t="s">
        <v>611</v>
      </c>
      <c r="D14" s="104" t="s">
        <v>402</v>
      </c>
      <c r="E14" s="104" t="s">
        <v>402</v>
      </c>
      <c r="F14" s="105">
        <v>1593</v>
      </c>
      <c r="G14" s="35">
        <v>3427</v>
      </c>
      <c r="H14" s="35">
        <v>4031</v>
      </c>
      <c r="I14" s="35">
        <v>2365</v>
      </c>
    </row>
    <row r="15" spans="2:9" ht="13.15" customHeight="1" x14ac:dyDescent="0.2">
      <c r="B15" s="714"/>
      <c r="C15" s="715" t="s">
        <v>612</v>
      </c>
      <c r="D15" s="716"/>
      <c r="E15" s="717"/>
      <c r="F15" s="107">
        <v>742803</v>
      </c>
      <c r="G15" s="106">
        <v>1185355</v>
      </c>
      <c r="H15" s="106">
        <v>1323114</v>
      </c>
      <c r="I15" s="106">
        <v>887842</v>
      </c>
    </row>
    <row r="16" spans="2:9" x14ac:dyDescent="0.2">
      <c r="B16" s="712" t="s">
        <v>613</v>
      </c>
      <c r="C16" s="104" t="s">
        <v>604</v>
      </c>
      <c r="D16" s="104" t="s">
        <v>614</v>
      </c>
      <c r="E16" s="104" t="s">
        <v>615</v>
      </c>
      <c r="F16" s="109">
        <v>0</v>
      </c>
      <c r="G16" s="108">
        <v>0</v>
      </c>
      <c r="H16" s="108">
        <v>0</v>
      </c>
      <c r="I16" s="35">
        <v>5615</v>
      </c>
    </row>
    <row r="17" spans="2:9" x14ac:dyDescent="0.2">
      <c r="B17" s="713"/>
      <c r="C17" s="104" t="s">
        <v>609</v>
      </c>
      <c r="D17" s="104" t="s">
        <v>616</v>
      </c>
      <c r="E17" s="104" t="s">
        <v>617</v>
      </c>
      <c r="F17" s="109">
        <v>0</v>
      </c>
      <c r="G17" s="108">
        <v>0</v>
      </c>
      <c r="H17" s="108">
        <v>0</v>
      </c>
      <c r="I17" s="35">
        <v>16777</v>
      </c>
    </row>
    <row r="18" spans="2:9" x14ac:dyDescent="0.2">
      <c r="B18" s="713"/>
      <c r="C18" s="104" t="s">
        <v>611</v>
      </c>
      <c r="D18" s="104" t="s">
        <v>402</v>
      </c>
      <c r="E18" s="104" t="s">
        <v>402</v>
      </c>
      <c r="F18" s="109">
        <v>0</v>
      </c>
      <c r="G18" s="108">
        <v>0</v>
      </c>
      <c r="H18" s="108">
        <v>0</v>
      </c>
      <c r="I18" s="108">
        <v>350</v>
      </c>
    </row>
    <row r="19" spans="2:9" ht="13.15" customHeight="1" x14ac:dyDescent="0.2">
      <c r="B19" s="714"/>
      <c r="C19" s="715" t="s">
        <v>618</v>
      </c>
      <c r="D19" s="716"/>
      <c r="E19" s="717"/>
      <c r="F19" s="111">
        <v>0</v>
      </c>
      <c r="G19" s="110">
        <v>0</v>
      </c>
      <c r="H19" s="110">
        <v>0</v>
      </c>
      <c r="I19" s="106">
        <v>22742</v>
      </c>
    </row>
    <row r="20" spans="2:9" x14ac:dyDescent="0.2">
      <c r="B20" s="718" t="s">
        <v>538</v>
      </c>
      <c r="C20" s="719"/>
      <c r="D20" s="720"/>
      <c r="E20" s="104" t="s">
        <v>606</v>
      </c>
      <c r="F20" s="105">
        <v>159198</v>
      </c>
      <c r="G20" s="35">
        <v>293208</v>
      </c>
      <c r="H20" s="35">
        <v>420979</v>
      </c>
      <c r="I20" s="35">
        <v>333272</v>
      </c>
    </row>
    <row r="21" spans="2:9" x14ac:dyDescent="0.2">
      <c r="B21" s="721"/>
      <c r="C21" s="722"/>
      <c r="D21" s="723"/>
      <c r="E21" s="104" t="s">
        <v>607</v>
      </c>
      <c r="F21" s="105">
        <v>531465</v>
      </c>
      <c r="G21" s="35">
        <v>807755</v>
      </c>
      <c r="H21" s="35">
        <v>800055</v>
      </c>
      <c r="I21" s="35">
        <v>483033</v>
      </c>
    </row>
    <row r="22" spans="2:9" x14ac:dyDescent="0.2">
      <c r="B22" s="721"/>
      <c r="C22" s="722"/>
      <c r="D22" s="723"/>
      <c r="E22" s="104" t="s">
        <v>282</v>
      </c>
      <c r="F22" s="105">
        <v>50547</v>
      </c>
      <c r="G22" s="35">
        <v>80966</v>
      </c>
      <c r="H22" s="35">
        <v>98049</v>
      </c>
      <c r="I22" s="35">
        <v>69172</v>
      </c>
    </row>
    <row r="23" spans="2:9" x14ac:dyDescent="0.2">
      <c r="B23" s="721"/>
      <c r="C23" s="722"/>
      <c r="D23" s="723"/>
      <c r="E23" s="104" t="s">
        <v>615</v>
      </c>
      <c r="F23" s="109">
        <v>0</v>
      </c>
      <c r="G23" s="108">
        <v>0</v>
      </c>
      <c r="H23" s="108">
        <v>0</v>
      </c>
      <c r="I23" s="35">
        <v>5615</v>
      </c>
    </row>
    <row r="24" spans="2:9" x14ac:dyDescent="0.2">
      <c r="B24" s="721"/>
      <c r="C24" s="722"/>
      <c r="D24" s="723"/>
      <c r="E24" s="104" t="s">
        <v>617</v>
      </c>
      <c r="F24" s="109">
        <v>0</v>
      </c>
      <c r="G24" s="108">
        <v>0</v>
      </c>
      <c r="H24" s="108">
        <v>0</v>
      </c>
      <c r="I24" s="35">
        <v>16777</v>
      </c>
    </row>
    <row r="25" spans="2:9" x14ac:dyDescent="0.2">
      <c r="B25" s="721"/>
      <c r="C25" s="722"/>
      <c r="D25" s="723"/>
      <c r="E25" s="104" t="s">
        <v>184</v>
      </c>
      <c r="F25" s="105">
        <v>1593</v>
      </c>
      <c r="G25" s="35">
        <v>3427</v>
      </c>
      <c r="H25" s="35">
        <v>4031</v>
      </c>
      <c r="I25" s="35">
        <v>2715</v>
      </c>
    </row>
    <row r="26" spans="2:9" x14ac:dyDescent="0.2">
      <c r="B26" s="724"/>
      <c r="C26" s="725"/>
      <c r="D26" s="726"/>
      <c r="E26" s="112" t="s">
        <v>538</v>
      </c>
      <c r="F26" s="114">
        <v>742803</v>
      </c>
      <c r="G26" s="113">
        <v>1185355</v>
      </c>
      <c r="H26" s="113">
        <v>1323114</v>
      </c>
      <c r="I26" s="113">
        <v>910584</v>
      </c>
    </row>
  </sheetData>
  <mergeCells count="9">
    <mergeCell ref="B16:B19"/>
    <mergeCell ref="C19:E19"/>
    <mergeCell ref="B20:D26"/>
    <mergeCell ref="B6:B15"/>
    <mergeCell ref="C6:C9"/>
    <mergeCell ref="D6:D9"/>
    <mergeCell ref="C10:C13"/>
    <mergeCell ref="D10:D13"/>
    <mergeCell ref="C15:E15"/>
  </mergeCells>
  <phoneticPr fontId="2" type="noConversion"/>
  <hyperlinks>
    <hyperlink ref="C1" location="Index!A1" display="Index!A1" xr:uid="{275D3311-6FAD-4C9F-91A1-475A0A89CA22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2EE37-3DB8-4BCD-BD97-0E95D244CB2B}">
  <dimension ref="B1:Y56"/>
  <sheetViews>
    <sheetView showGridLines="0" zoomScale="70" zoomScaleNormal="70" workbookViewId="0">
      <selection activeCell="B1" sqref="B1"/>
    </sheetView>
  </sheetViews>
  <sheetFormatPr defaultColWidth="9.28515625" defaultRowHeight="12" outlineLevelRow="1" x14ac:dyDescent="0.2"/>
  <cols>
    <col min="1" max="1" width="1.7109375" style="1" customWidth="1"/>
    <col min="2" max="2" width="11.42578125" style="74" bestFit="1" customWidth="1"/>
    <col min="3" max="7" width="11" style="1" customWidth="1"/>
    <col min="8" max="8" width="9.28515625" style="1"/>
    <col min="9" max="9" width="15.42578125" style="1" customWidth="1"/>
    <col min="10" max="10" width="12.7109375" style="1" bestFit="1" customWidth="1"/>
    <col min="11" max="11" width="12.140625" style="1" customWidth="1"/>
    <col min="12" max="12" width="11.28515625" style="1" customWidth="1"/>
    <col min="13" max="14" width="9.28515625" style="1"/>
    <col min="15" max="15" width="13.42578125" style="1" customWidth="1"/>
    <col min="16" max="16" width="14" style="1" customWidth="1"/>
    <col min="17" max="19" width="9.28515625" style="1"/>
    <col min="20" max="20" width="12.7109375" style="1" customWidth="1"/>
    <col min="21" max="24" width="10.140625" style="1" bestFit="1" customWidth="1"/>
    <col min="25" max="16384" width="9.28515625" style="1"/>
  </cols>
  <sheetData>
    <row r="1" spans="2:19" ht="16.5" x14ac:dyDescent="0.2">
      <c r="B1" s="25" t="s">
        <v>619</v>
      </c>
      <c r="D1" s="614" t="s">
        <v>0</v>
      </c>
    </row>
    <row r="4" spans="2:19" s="3" customFormat="1" x14ac:dyDescent="0.2">
      <c r="B4" s="2" t="s">
        <v>620</v>
      </c>
    </row>
    <row r="5" spans="2:19" outlineLevel="1" x14ac:dyDescent="0.2"/>
    <row r="6" spans="2:19" outlineLevel="1" x14ac:dyDescent="0.2">
      <c r="B6" s="76" t="s">
        <v>621</v>
      </c>
      <c r="I6" s="76" t="s">
        <v>622</v>
      </c>
      <c r="O6" s="77" t="s">
        <v>623</v>
      </c>
    </row>
    <row r="7" spans="2:19" outlineLevel="1" x14ac:dyDescent="0.2">
      <c r="B7" s="78" t="s">
        <v>624</v>
      </c>
      <c r="C7" s="79"/>
      <c r="D7" s="80">
        <v>2018</v>
      </c>
      <c r="E7" s="81">
        <v>2019</v>
      </c>
      <c r="F7" s="81">
        <v>2020</v>
      </c>
      <c r="G7" s="81" t="s">
        <v>306</v>
      </c>
      <c r="I7" s="82" t="s">
        <v>625</v>
      </c>
      <c r="J7" s="81">
        <v>2018</v>
      </c>
      <c r="K7" s="81">
        <v>2019</v>
      </c>
      <c r="L7" s="81">
        <v>2020</v>
      </c>
      <c r="M7" s="81" t="s">
        <v>306</v>
      </c>
      <c r="O7" s="82" t="s">
        <v>625</v>
      </c>
      <c r="P7" s="89">
        <v>2018</v>
      </c>
      <c r="Q7" s="81">
        <v>2019</v>
      </c>
      <c r="R7" s="81">
        <v>2020</v>
      </c>
      <c r="S7" s="81" t="s">
        <v>306</v>
      </c>
    </row>
    <row r="8" spans="2:19" outlineLevel="1" x14ac:dyDescent="0.2">
      <c r="B8" s="83" t="s">
        <v>178</v>
      </c>
      <c r="C8" s="84"/>
      <c r="D8" s="85">
        <v>180052</v>
      </c>
      <c r="E8" s="35">
        <v>307788</v>
      </c>
      <c r="F8" s="35">
        <v>349917</v>
      </c>
      <c r="G8" s="35">
        <v>241926</v>
      </c>
      <c r="I8" s="86" t="s">
        <v>606</v>
      </c>
      <c r="J8" s="35">
        <v>155662</v>
      </c>
      <c r="K8" s="35">
        <v>284782</v>
      </c>
      <c r="L8" s="35">
        <v>408225</v>
      </c>
      <c r="M8" s="35">
        <v>322919</v>
      </c>
      <c r="O8" s="86" t="s">
        <v>178</v>
      </c>
      <c r="P8" s="35">
        <v>16621</v>
      </c>
      <c r="Q8" s="35">
        <v>15862</v>
      </c>
      <c r="R8" s="35">
        <v>16231</v>
      </c>
      <c r="S8" s="35">
        <v>18210</v>
      </c>
    </row>
    <row r="9" spans="2:19" outlineLevel="1" x14ac:dyDescent="0.2">
      <c r="B9" s="83" t="s">
        <v>179</v>
      </c>
      <c r="C9" s="84"/>
      <c r="D9" s="35">
        <v>141538</v>
      </c>
      <c r="E9" s="35">
        <v>224434</v>
      </c>
      <c r="F9" s="35">
        <v>239466</v>
      </c>
      <c r="G9" s="35">
        <v>167954</v>
      </c>
      <c r="I9" s="86" t="s">
        <v>607</v>
      </c>
      <c r="J9" s="35">
        <v>518742</v>
      </c>
      <c r="K9" s="35">
        <v>786019</v>
      </c>
      <c r="L9" s="35">
        <v>776425</v>
      </c>
      <c r="M9" s="35">
        <v>469142</v>
      </c>
      <c r="O9" s="86" t="s">
        <v>179</v>
      </c>
      <c r="P9" s="35">
        <v>18072</v>
      </c>
      <c r="Q9" s="35">
        <v>17915</v>
      </c>
      <c r="R9" s="35">
        <v>18457</v>
      </c>
      <c r="S9" s="35">
        <v>19790</v>
      </c>
    </row>
    <row r="10" spans="2:19" outlineLevel="1" x14ac:dyDescent="0.2">
      <c r="B10" s="83" t="s">
        <v>180</v>
      </c>
      <c r="C10" s="84"/>
      <c r="D10" s="35">
        <v>137311</v>
      </c>
      <c r="E10" s="35">
        <v>209875</v>
      </c>
      <c r="F10" s="35">
        <v>238159</v>
      </c>
      <c r="G10" s="35">
        <v>154899</v>
      </c>
      <c r="J10" s="87">
        <f>SUM(J8:J9)</f>
        <v>674404</v>
      </c>
      <c r="K10" s="87">
        <f t="shared" ref="K10:M10" si="0">SUM(K8:K9)</f>
        <v>1070801</v>
      </c>
      <c r="L10" s="87">
        <f t="shared" si="0"/>
        <v>1184650</v>
      </c>
      <c r="M10" s="87">
        <f t="shared" si="0"/>
        <v>792061</v>
      </c>
      <c r="O10" s="86" t="s">
        <v>180</v>
      </c>
      <c r="P10" s="35">
        <v>13067</v>
      </c>
      <c r="Q10" s="35">
        <v>12964</v>
      </c>
      <c r="R10" s="35">
        <v>13772</v>
      </c>
      <c r="S10" s="35">
        <v>15050</v>
      </c>
    </row>
    <row r="11" spans="2:19" outlineLevel="1" x14ac:dyDescent="0.2">
      <c r="B11" s="83" t="s">
        <v>181</v>
      </c>
      <c r="C11" s="84"/>
      <c r="D11" s="35">
        <v>94848</v>
      </c>
      <c r="E11" s="35">
        <v>132729</v>
      </c>
      <c r="F11" s="35">
        <v>150492</v>
      </c>
      <c r="G11" s="35">
        <v>91227</v>
      </c>
      <c r="I11" s="77" t="s">
        <v>626</v>
      </c>
      <c r="O11" s="86" t="s">
        <v>181</v>
      </c>
      <c r="P11" s="35">
        <v>9344</v>
      </c>
      <c r="Q11" s="35">
        <v>9125</v>
      </c>
      <c r="R11" s="35">
        <v>9450</v>
      </c>
      <c r="S11" s="35">
        <v>10464</v>
      </c>
    </row>
    <row r="12" spans="2:19" outlineLevel="1" x14ac:dyDescent="0.2">
      <c r="B12" s="83" t="s">
        <v>182</v>
      </c>
      <c r="C12" s="84"/>
      <c r="D12" s="35">
        <v>17121</v>
      </c>
      <c r="E12" s="35">
        <v>24045</v>
      </c>
      <c r="F12" s="35">
        <v>28903</v>
      </c>
      <c r="G12" s="35">
        <v>15782</v>
      </c>
      <c r="I12" s="82" t="s">
        <v>627</v>
      </c>
      <c r="J12" s="81">
        <v>2018</v>
      </c>
      <c r="K12" s="81">
        <v>2019</v>
      </c>
      <c r="L12" s="81">
        <v>2020</v>
      </c>
      <c r="M12" s="81" t="s">
        <v>306</v>
      </c>
      <c r="O12" s="86" t="s">
        <v>182</v>
      </c>
      <c r="P12" s="35">
        <v>10083</v>
      </c>
      <c r="Q12" s="35">
        <v>10002</v>
      </c>
      <c r="R12" s="35">
        <v>10821</v>
      </c>
      <c r="S12" s="35">
        <v>10466</v>
      </c>
    </row>
    <row r="13" spans="2:19" outlineLevel="1" x14ac:dyDescent="0.2">
      <c r="B13" s="83" t="s">
        <v>183</v>
      </c>
      <c r="C13" s="84"/>
      <c r="D13" s="35">
        <v>7116</v>
      </c>
      <c r="E13" s="35">
        <v>11933</v>
      </c>
      <c r="F13" s="35">
        <v>10544</v>
      </c>
      <c r="G13" s="35">
        <v>4936</v>
      </c>
      <c r="I13" s="86" t="s">
        <v>606</v>
      </c>
      <c r="J13" s="40">
        <v>12700</v>
      </c>
      <c r="K13" s="40">
        <v>22554</v>
      </c>
      <c r="L13" s="40">
        <v>31274</v>
      </c>
      <c r="M13" s="40">
        <v>22920</v>
      </c>
      <c r="O13" s="86" t="s">
        <v>183</v>
      </c>
      <c r="P13" s="35">
        <v>9828</v>
      </c>
      <c r="Q13" s="35">
        <v>9936</v>
      </c>
      <c r="R13" s="35">
        <v>10502</v>
      </c>
      <c r="S13" s="35">
        <v>12855</v>
      </c>
    </row>
    <row r="14" spans="2:19" outlineLevel="1" x14ac:dyDescent="0.2">
      <c r="B14" s="83" t="s">
        <v>184</v>
      </c>
      <c r="C14" s="84"/>
      <c r="D14" s="35">
        <v>96419</v>
      </c>
      <c r="E14" s="35">
        <v>159997</v>
      </c>
      <c r="F14" s="35">
        <v>167169</v>
      </c>
      <c r="G14" s="35">
        <v>115337</v>
      </c>
      <c r="I14" s="86" t="s">
        <v>607</v>
      </c>
      <c r="J14" s="40">
        <v>39496</v>
      </c>
      <c r="K14" s="40">
        <v>61774</v>
      </c>
      <c r="L14" s="40">
        <v>58875</v>
      </c>
      <c r="M14" s="40">
        <v>31506</v>
      </c>
      <c r="O14" s="86" t="s">
        <v>184</v>
      </c>
      <c r="P14" s="35">
        <v>9251</v>
      </c>
      <c r="Q14" s="35">
        <v>8861</v>
      </c>
      <c r="R14" s="35">
        <v>8929</v>
      </c>
      <c r="S14" s="35">
        <v>9814</v>
      </c>
    </row>
    <row r="15" spans="2:19" outlineLevel="1" x14ac:dyDescent="0.2">
      <c r="C15" s="87"/>
      <c r="D15" s="87"/>
      <c r="E15" s="87"/>
      <c r="F15" s="87"/>
      <c r="J15" s="88"/>
      <c r="K15" s="88"/>
      <c r="L15" s="88"/>
      <c r="M15" s="88"/>
    </row>
    <row r="16" spans="2:19" ht="12.75" outlineLevel="1" thickBot="1" x14ac:dyDescent="0.25">
      <c r="C16" s="87"/>
      <c r="D16" s="87"/>
      <c r="E16" s="87"/>
      <c r="F16" s="87"/>
      <c r="I16" s="77" t="s">
        <v>628</v>
      </c>
    </row>
    <row r="17" spans="2:25" ht="12.75" outlineLevel="1" thickTop="1" x14ac:dyDescent="0.2">
      <c r="C17" s="87"/>
      <c r="D17" s="87"/>
      <c r="E17" s="87"/>
      <c r="F17" s="87"/>
      <c r="I17" s="220" t="s">
        <v>629</v>
      </c>
      <c r="J17" s="221">
        <v>2018</v>
      </c>
      <c r="K17" s="221">
        <v>2019</v>
      </c>
      <c r="L17" s="221">
        <v>2020</v>
      </c>
      <c r="M17" s="222" t="s">
        <v>306</v>
      </c>
    </row>
    <row r="18" spans="2:25" outlineLevel="1" x14ac:dyDescent="0.2">
      <c r="C18" s="87"/>
      <c r="D18" s="87"/>
      <c r="E18" s="87"/>
      <c r="F18" s="87"/>
      <c r="I18" s="223" t="s">
        <v>606</v>
      </c>
      <c r="J18" s="156">
        <f t="shared" ref="J18:M19" si="1">J8*10^6/J13/1000</f>
        <v>12256.850393700788</v>
      </c>
      <c r="K18" s="156">
        <f t="shared" si="1"/>
        <v>12626.673760751974</v>
      </c>
      <c r="L18" s="156">
        <f t="shared" si="1"/>
        <v>13053.175161475987</v>
      </c>
      <c r="M18" s="224">
        <f t="shared" si="1"/>
        <v>14088.961605584642</v>
      </c>
    </row>
    <row r="19" spans="2:25" outlineLevel="1" x14ac:dyDescent="0.2">
      <c r="C19" s="87"/>
      <c r="D19" s="87"/>
      <c r="E19" s="87"/>
      <c r="F19" s="87"/>
      <c r="I19" s="223" t="s">
        <v>607</v>
      </c>
      <c r="J19" s="156">
        <f t="shared" si="1"/>
        <v>13134.038890014179</v>
      </c>
      <c r="K19" s="156">
        <f t="shared" si="1"/>
        <v>12724.107229578787</v>
      </c>
      <c r="L19" s="156">
        <f t="shared" si="1"/>
        <v>13187.68577494692</v>
      </c>
      <c r="M19" s="224">
        <f t="shared" si="1"/>
        <v>14890.560528153368</v>
      </c>
    </row>
    <row r="20" spans="2:25" ht="12.75" outlineLevel="1" thickBot="1" x14ac:dyDescent="0.25">
      <c r="C20" s="87"/>
      <c r="D20" s="87"/>
      <c r="E20" s="87"/>
      <c r="F20" s="87"/>
      <c r="I20" s="225" t="s">
        <v>630</v>
      </c>
      <c r="J20" s="226">
        <f>SUM(J8:J9)*10^6/SUM(J13:J14)/1000</f>
        <v>12920.606943060771</v>
      </c>
      <c r="K20" s="226">
        <f>SUM(K8:K9)*10^6/SUM(K13:K14)/1000</f>
        <v>12698.048097903426</v>
      </c>
      <c r="L20" s="226">
        <f>SUM(L8:L9)*10^6/SUM(L13:L14)/1000</f>
        <v>13141.022085658189</v>
      </c>
      <c r="M20" s="227">
        <f>SUM(M8:M9)*10^6/SUM(M13:M14)/1000</f>
        <v>14552.989380075698</v>
      </c>
    </row>
    <row r="21" spans="2:25" ht="12.75" thickTop="1" x14ac:dyDescent="0.2">
      <c r="C21" s="87"/>
      <c r="D21" s="87"/>
      <c r="E21" s="87"/>
      <c r="F21" s="87"/>
      <c r="J21" s="90"/>
      <c r="K21" s="90"/>
      <c r="L21" s="90"/>
      <c r="M21" s="90"/>
    </row>
    <row r="22" spans="2:25" s="3" customFormat="1" x14ac:dyDescent="0.2">
      <c r="B22" s="2" t="s">
        <v>631</v>
      </c>
      <c r="C22" s="49"/>
      <c r="D22" s="49"/>
      <c r="E22" s="49"/>
      <c r="F22" s="49"/>
    </row>
    <row r="23" spans="2:25" outlineLevel="1" x14ac:dyDescent="0.2">
      <c r="C23" s="87"/>
      <c r="D23" s="87"/>
      <c r="E23" s="87"/>
      <c r="F23" s="87"/>
    </row>
    <row r="24" spans="2:25" ht="12.75" outlineLevel="1" thickBot="1" x14ac:dyDescent="0.25">
      <c r="B24" s="75" t="s">
        <v>632</v>
      </c>
      <c r="I24" s="75" t="s">
        <v>633</v>
      </c>
    </row>
    <row r="25" spans="2:25" ht="12.75" outlineLevel="1" thickTop="1" x14ac:dyDescent="0.2">
      <c r="B25" s="228" t="s">
        <v>634</v>
      </c>
      <c r="C25" s="229"/>
      <c r="D25" s="221">
        <v>2018</v>
      </c>
      <c r="E25" s="221">
        <v>2019</v>
      </c>
      <c r="F25" s="221">
        <v>2020</v>
      </c>
      <c r="G25" s="222" t="s">
        <v>306</v>
      </c>
      <c r="I25" s="228" t="s">
        <v>634</v>
      </c>
      <c r="J25" s="229"/>
      <c r="K25" s="221">
        <v>2018</v>
      </c>
      <c r="L25" s="221">
        <v>2019</v>
      </c>
      <c r="M25" s="221">
        <v>2020</v>
      </c>
      <c r="N25" s="222" t="s">
        <v>306</v>
      </c>
    </row>
    <row r="26" spans="2:25" outlineLevel="1" x14ac:dyDescent="0.2">
      <c r="B26" s="230" t="s">
        <v>606</v>
      </c>
      <c r="C26" s="91" t="s">
        <v>178</v>
      </c>
      <c r="D26" s="156">
        <f t="shared" ref="D26:G31" si="2">ROUND(J$8*D8/SUM(D$8:D$14),0)</f>
        <v>41558</v>
      </c>
      <c r="E26" s="156">
        <f t="shared" si="2"/>
        <v>81857</v>
      </c>
      <c r="F26" s="156">
        <f t="shared" si="2"/>
        <v>120580</v>
      </c>
      <c r="G26" s="224">
        <f t="shared" si="2"/>
        <v>98632</v>
      </c>
      <c r="I26" s="230" t="s">
        <v>635</v>
      </c>
      <c r="J26" s="91" t="s">
        <v>178</v>
      </c>
      <c r="K26" s="156">
        <f t="shared" ref="K26:N31" si="3">ROUND(J$9*D8/SUM(D$8:D$14),0)</f>
        <v>138493</v>
      </c>
      <c r="L26" s="156">
        <f t="shared" si="3"/>
        <v>225931</v>
      </c>
      <c r="M26" s="156">
        <f t="shared" si="3"/>
        <v>229337</v>
      </c>
      <c r="N26" s="224">
        <f t="shared" si="3"/>
        <v>143294</v>
      </c>
    </row>
    <row r="27" spans="2:25" outlineLevel="1" x14ac:dyDescent="0.2">
      <c r="B27" s="231"/>
      <c r="C27" s="92" t="s">
        <v>179</v>
      </c>
      <c r="D27" s="156">
        <f t="shared" si="2"/>
        <v>32669</v>
      </c>
      <c r="E27" s="156">
        <f t="shared" si="2"/>
        <v>59689</v>
      </c>
      <c r="F27" s="156">
        <f t="shared" si="2"/>
        <v>82519</v>
      </c>
      <c r="G27" s="224">
        <f t="shared" si="2"/>
        <v>68474</v>
      </c>
      <c r="I27" s="231"/>
      <c r="J27" s="92" t="s">
        <v>179</v>
      </c>
      <c r="K27" s="156">
        <f t="shared" si="3"/>
        <v>108869</v>
      </c>
      <c r="L27" s="156">
        <f t="shared" si="3"/>
        <v>164745</v>
      </c>
      <c r="M27" s="156">
        <f t="shared" si="3"/>
        <v>156947</v>
      </c>
      <c r="N27" s="224">
        <f t="shared" si="3"/>
        <v>99480</v>
      </c>
    </row>
    <row r="28" spans="2:25" outlineLevel="1" x14ac:dyDescent="0.2">
      <c r="B28" s="231"/>
      <c r="C28" s="92" t="s">
        <v>180</v>
      </c>
      <c r="D28" s="156">
        <f t="shared" si="2"/>
        <v>31693</v>
      </c>
      <c r="E28" s="156">
        <f t="shared" si="2"/>
        <v>55817</v>
      </c>
      <c r="F28" s="156">
        <f t="shared" si="2"/>
        <v>82069</v>
      </c>
      <c r="G28" s="224">
        <f t="shared" si="2"/>
        <v>63151</v>
      </c>
      <c r="I28" s="231"/>
      <c r="J28" s="92" t="s">
        <v>180</v>
      </c>
      <c r="K28" s="156">
        <f t="shared" si="3"/>
        <v>105618</v>
      </c>
      <c r="L28" s="156">
        <f t="shared" si="3"/>
        <v>154058</v>
      </c>
      <c r="M28" s="156">
        <f t="shared" si="3"/>
        <v>156090</v>
      </c>
      <c r="N28" s="224">
        <f t="shared" si="3"/>
        <v>91748</v>
      </c>
    </row>
    <row r="29" spans="2:25" outlineLevel="1" x14ac:dyDescent="0.2">
      <c r="B29" s="231"/>
      <c r="C29" s="92" t="s">
        <v>181</v>
      </c>
      <c r="D29" s="156">
        <f t="shared" si="2"/>
        <v>21892</v>
      </c>
      <c r="E29" s="156">
        <f t="shared" si="2"/>
        <v>35300</v>
      </c>
      <c r="F29" s="156">
        <f t="shared" si="2"/>
        <v>51859</v>
      </c>
      <c r="G29" s="224">
        <f t="shared" si="2"/>
        <v>37193</v>
      </c>
      <c r="I29" s="231"/>
      <c r="J29" s="92" t="s">
        <v>181</v>
      </c>
      <c r="K29" s="156">
        <f t="shared" si="3"/>
        <v>72956</v>
      </c>
      <c r="L29" s="156">
        <f t="shared" si="3"/>
        <v>97429</v>
      </c>
      <c r="M29" s="156">
        <f t="shared" si="3"/>
        <v>98633</v>
      </c>
      <c r="N29" s="224">
        <f t="shared" si="3"/>
        <v>54034</v>
      </c>
    </row>
    <row r="30" spans="2:25" outlineLevel="1" x14ac:dyDescent="0.2">
      <c r="B30" s="231"/>
      <c r="C30" s="92" t="s">
        <v>182</v>
      </c>
      <c r="D30" s="156">
        <f t="shared" si="2"/>
        <v>3952</v>
      </c>
      <c r="E30" s="156">
        <f t="shared" si="2"/>
        <v>6395</v>
      </c>
      <c r="F30" s="156">
        <f t="shared" si="2"/>
        <v>9960</v>
      </c>
      <c r="G30" s="224">
        <f t="shared" si="2"/>
        <v>6434</v>
      </c>
      <c r="I30" s="231"/>
      <c r="J30" s="92" t="s">
        <v>182</v>
      </c>
      <c r="K30" s="156">
        <f t="shared" si="3"/>
        <v>13169</v>
      </c>
      <c r="L30" s="156">
        <f t="shared" si="3"/>
        <v>17650</v>
      </c>
      <c r="M30" s="156">
        <f t="shared" si="3"/>
        <v>18943</v>
      </c>
      <c r="N30" s="224">
        <f t="shared" si="3"/>
        <v>9348</v>
      </c>
    </row>
    <row r="31" spans="2:25" outlineLevel="1" x14ac:dyDescent="0.2">
      <c r="B31" s="231"/>
      <c r="C31" s="92" t="s">
        <v>183</v>
      </c>
      <c r="D31" s="156">
        <f t="shared" si="2"/>
        <v>1642</v>
      </c>
      <c r="E31" s="156">
        <f t="shared" si="2"/>
        <v>3174</v>
      </c>
      <c r="F31" s="156">
        <f t="shared" si="2"/>
        <v>3633</v>
      </c>
      <c r="G31" s="224">
        <f t="shared" si="2"/>
        <v>2012</v>
      </c>
      <c r="I31" s="231"/>
      <c r="J31" s="92" t="s">
        <v>183</v>
      </c>
      <c r="K31" s="156">
        <f t="shared" si="3"/>
        <v>5474</v>
      </c>
      <c r="L31" s="156">
        <f t="shared" si="3"/>
        <v>8759</v>
      </c>
      <c r="M31" s="156">
        <f t="shared" si="3"/>
        <v>6911</v>
      </c>
      <c r="N31" s="224">
        <f t="shared" si="3"/>
        <v>2924</v>
      </c>
    </row>
    <row r="32" spans="2:25" ht="12.75" outlineLevel="1" thickBot="1" x14ac:dyDescent="0.25">
      <c r="B32" s="232"/>
      <c r="C32" s="233" t="s">
        <v>184</v>
      </c>
      <c r="D32" s="226">
        <f>J8-SUM(D26:D31)</f>
        <v>22256</v>
      </c>
      <c r="E32" s="226">
        <f>K8-SUM(E26:E31)</f>
        <v>42550</v>
      </c>
      <c r="F32" s="226">
        <f>L8-SUM(F26:F31)</f>
        <v>57605</v>
      </c>
      <c r="G32" s="227">
        <f>M8-SUM(G26:G31)</f>
        <v>47023</v>
      </c>
      <c r="I32" s="232"/>
      <c r="J32" s="233" t="s">
        <v>184</v>
      </c>
      <c r="K32" s="226">
        <f>J9-SUM(K26:K31)</f>
        <v>74163</v>
      </c>
      <c r="L32" s="226">
        <f>K9-SUM(L26:L31)</f>
        <v>117447</v>
      </c>
      <c r="M32" s="226">
        <f>L9-SUM(M26:M31)</f>
        <v>109564</v>
      </c>
      <c r="N32" s="227">
        <f>M9-SUM(N26:N31)</f>
        <v>68314</v>
      </c>
      <c r="Y32" s="45"/>
    </row>
    <row r="33" spans="2:25" ht="12.75" outlineLevel="1" thickTop="1" x14ac:dyDescent="0.2">
      <c r="D33" s="45"/>
      <c r="I33" s="74"/>
      <c r="K33" s="45"/>
      <c r="Y33" s="45"/>
    </row>
    <row r="34" spans="2:25" ht="12.75" outlineLevel="1" thickBot="1" x14ac:dyDescent="0.25">
      <c r="B34" s="75" t="s">
        <v>636</v>
      </c>
      <c r="D34" s="45"/>
      <c r="I34" s="75" t="s">
        <v>637</v>
      </c>
      <c r="K34" s="45"/>
      <c r="Y34" s="45"/>
    </row>
    <row r="35" spans="2:25" ht="12.75" outlineLevel="1" thickTop="1" x14ac:dyDescent="0.2">
      <c r="B35" s="234" t="s">
        <v>638</v>
      </c>
      <c r="C35" s="229"/>
      <c r="D35" s="221">
        <v>2018</v>
      </c>
      <c r="E35" s="221">
        <v>2019</v>
      </c>
      <c r="F35" s="221">
        <v>2020</v>
      </c>
      <c r="G35" s="222" t="s">
        <v>306</v>
      </c>
      <c r="I35" s="234" t="s">
        <v>638</v>
      </c>
      <c r="J35" s="229"/>
      <c r="K35" s="221">
        <v>2018</v>
      </c>
      <c r="L35" s="221">
        <v>2019</v>
      </c>
      <c r="M35" s="221">
        <v>2020</v>
      </c>
      <c r="N35" s="222" t="s">
        <v>306</v>
      </c>
      <c r="Y35" s="45"/>
    </row>
    <row r="36" spans="2:25" outlineLevel="1" x14ac:dyDescent="0.2">
      <c r="B36" s="230" t="s">
        <v>606</v>
      </c>
      <c r="C36" s="91" t="s">
        <v>178</v>
      </c>
      <c r="D36" s="156">
        <f t="shared" ref="D36:G41" si="4">D26*10^6/(D47*1000)</f>
        <v>2635.7336375303917</v>
      </c>
      <c r="E36" s="156">
        <f t="shared" si="4"/>
        <v>5189.7434164233318</v>
      </c>
      <c r="F36" s="156">
        <f t="shared" si="4"/>
        <v>7478.9904918772772</v>
      </c>
      <c r="G36" s="224">
        <f t="shared" si="4"/>
        <v>5594.7556119288911</v>
      </c>
      <c r="I36" s="230" t="s">
        <v>635</v>
      </c>
      <c r="J36" s="91" t="s">
        <v>178</v>
      </c>
      <c r="K36" s="156">
        <f t="shared" ref="K36:N41" si="5">K26*10^6/(K47*1000)</f>
        <v>8197.0067097348838</v>
      </c>
      <c r="L36" s="156">
        <f t="shared" si="5"/>
        <v>14214.367070343558</v>
      </c>
      <c r="M36" s="156">
        <f t="shared" si="5"/>
        <v>14079.570409532753</v>
      </c>
      <c r="N36" s="224">
        <f t="shared" si="5"/>
        <v>7690.5823403497816</v>
      </c>
      <c r="Y36" s="45"/>
    </row>
    <row r="37" spans="2:25" outlineLevel="1" x14ac:dyDescent="0.2">
      <c r="B37" s="231"/>
      <c r="C37" s="92" t="s">
        <v>179</v>
      </c>
      <c r="D37" s="156">
        <f t="shared" si="4"/>
        <v>1905.6083751425956</v>
      </c>
      <c r="E37" s="156">
        <f t="shared" si="4"/>
        <v>3350.6224855228697</v>
      </c>
      <c r="F37" s="156">
        <f t="shared" si="4"/>
        <v>4500.9669446889375</v>
      </c>
      <c r="G37" s="224">
        <f t="shared" si="4"/>
        <v>3573.9883383329193</v>
      </c>
      <c r="I37" s="231"/>
      <c r="J37" s="92" t="s">
        <v>179</v>
      </c>
      <c r="K37" s="156">
        <f t="shared" si="5"/>
        <v>5926.286361623831</v>
      </c>
      <c r="L37" s="156">
        <f t="shared" si="5"/>
        <v>9177.0918318453241</v>
      </c>
      <c r="M37" s="156">
        <f t="shared" si="5"/>
        <v>8473.2976209400349</v>
      </c>
      <c r="N37" s="224">
        <f t="shared" si="5"/>
        <v>4912.8233500337974</v>
      </c>
      <c r="Y37" s="45"/>
    </row>
    <row r="38" spans="2:25" outlineLevel="1" x14ac:dyDescent="0.2">
      <c r="B38" s="231"/>
      <c r="C38" s="92" t="s">
        <v>180</v>
      </c>
      <c r="D38" s="156">
        <f t="shared" si="4"/>
        <v>2556.7689848765517</v>
      </c>
      <c r="E38" s="156">
        <f t="shared" si="4"/>
        <v>4329.8761736576562</v>
      </c>
      <c r="F38" s="156">
        <f t="shared" si="4"/>
        <v>5999.2243995563513</v>
      </c>
      <c r="G38" s="224">
        <f t="shared" si="4"/>
        <v>4334.2799504711884</v>
      </c>
      <c r="I38" s="231"/>
      <c r="J38" s="92" t="s">
        <v>180</v>
      </c>
      <c r="K38" s="156">
        <f t="shared" si="5"/>
        <v>7951.4560971585342</v>
      </c>
      <c r="L38" s="156">
        <f t="shared" si="5"/>
        <v>11859.185997990697</v>
      </c>
      <c r="M38" s="156">
        <f t="shared" si="5"/>
        <v>11293.761735645567</v>
      </c>
      <c r="N38" s="224">
        <f t="shared" si="5"/>
        <v>5958.0106078966419</v>
      </c>
      <c r="Y38" s="45"/>
    </row>
    <row r="39" spans="2:25" outlineLevel="1" x14ac:dyDescent="0.2">
      <c r="B39" s="231"/>
      <c r="C39" s="92" t="s">
        <v>181</v>
      </c>
      <c r="D39" s="156">
        <f t="shared" si="4"/>
        <v>2469.7707312212642</v>
      </c>
      <c r="E39" s="156">
        <f t="shared" si="4"/>
        <v>3890.3604404903685</v>
      </c>
      <c r="F39" s="156">
        <f t="shared" si="4"/>
        <v>5524.6568589395865</v>
      </c>
      <c r="G39" s="224">
        <f t="shared" si="4"/>
        <v>3671.4422887382657</v>
      </c>
      <c r="I39" s="231"/>
      <c r="J39" s="92" t="s">
        <v>181</v>
      </c>
      <c r="K39" s="156">
        <f t="shared" si="5"/>
        <v>7680.9122226849759</v>
      </c>
      <c r="L39" s="156">
        <f t="shared" si="5"/>
        <v>10655.283746010282</v>
      </c>
      <c r="M39" s="156">
        <f t="shared" si="5"/>
        <v>10400.422659913684</v>
      </c>
      <c r="N39" s="224">
        <f t="shared" si="5"/>
        <v>5046.7356126921359</v>
      </c>
      <c r="Y39" s="45"/>
    </row>
    <row r="40" spans="2:25" outlineLevel="1" x14ac:dyDescent="0.2">
      <c r="B40" s="231"/>
      <c r="C40" s="92" t="s">
        <v>182</v>
      </c>
      <c r="D40" s="156">
        <f t="shared" si="4"/>
        <v>413.17230081826619</v>
      </c>
      <c r="E40" s="156">
        <f t="shared" si="4"/>
        <v>642.9862810144491</v>
      </c>
      <c r="F40" s="156">
        <f t="shared" si="4"/>
        <v>926.62693643819091</v>
      </c>
      <c r="G40" s="224">
        <f t="shared" si="4"/>
        <v>634.99974804010844</v>
      </c>
      <c r="I40" s="231"/>
      <c r="J40" s="92" t="s">
        <v>182</v>
      </c>
      <c r="K40" s="156">
        <f t="shared" si="5"/>
        <v>1284.8358548898455</v>
      </c>
      <c r="L40" s="156">
        <f t="shared" si="5"/>
        <v>1761.0330511860745</v>
      </c>
      <c r="M40" s="156">
        <f t="shared" si="5"/>
        <v>1744.3832862186064</v>
      </c>
      <c r="N40" s="224">
        <f t="shared" si="5"/>
        <v>872.92943779690927</v>
      </c>
      <c r="Y40" s="45"/>
    </row>
    <row r="41" spans="2:25" outlineLevel="1" x14ac:dyDescent="0.2">
      <c r="B41" s="231"/>
      <c r="C41" s="92" t="s">
        <v>183</v>
      </c>
      <c r="D41" s="156">
        <f t="shared" si="4"/>
        <v>176.1213618062983</v>
      </c>
      <c r="E41" s="156">
        <f t="shared" si="4"/>
        <v>321.25015637705229</v>
      </c>
      <c r="F41" s="156">
        <f t="shared" si="4"/>
        <v>348.26221929926066</v>
      </c>
      <c r="G41" s="224">
        <f t="shared" si="4"/>
        <v>161.66988232767463</v>
      </c>
      <c r="I41" s="231"/>
      <c r="J41" s="92" t="s">
        <v>183</v>
      </c>
      <c r="K41" s="156">
        <f t="shared" si="5"/>
        <v>547.92896927040692</v>
      </c>
      <c r="L41" s="156">
        <f t="shared" si="5"/>
        <v>879.73645911954907</v>
      </c>
      <c r="M41" s="156">
        <f t="shared" si="5"/>
        <v>655.73661373482628</v>
      </c>
      <c r="N41" s="224">
        <f t="shared" si="5"/>
        <v>222.30357834298971</v>
      </c>
      <c r="Y41" s="45"/>
    </row>
    <row r="42" spans="2:25" ht="12.75" outlineLevel="1" thickBot="1" x14ac:dyDescent="0.25">
      <c r="B42" s="232"/>
      <c r="C42" s="233" t="s">
        <v>184</v>
      </c>
      <c r="D42" s="226">
        <f>J13-SUM(D36:D41)</f>
        <v>2542.8246086046347</v>
      </c>
      <c r="E42" s="226">
        <f t="shared" ref="E42:G42" si="6">K13-SUM(E36:E41)</f>
        <v>4829.161046514273</v>
      </c>
      <c r="F42" s="226">
        <f t="shared" si="6"/>
        <v>6495.2721492003948</v>
      </c>
      <c r="G42" s="227">
        <f t="shared" si="6"/>
        <v>4948.8641801609556</v>
      </c>
      <c r="I42" s="232"/>
      <c r="J42" s="233" t="s">
        <v>184</v>
      </c>
      <c r="K42" s="226">
        <f>J14-SUM(K36:K41)</f>
        <v>7907.5737846375196</v>
      </c>
      <c r="L42" s="226">
        <f t="shared" ref="L42:N42" si="7">K14-SUM(L36:L41)</f>
        <v>13227.301843504516</v>
      </c>
      <c r="M42" s="226">
        <f t="shared" si="7"/>
        <v>12227.827674014523</v>
      </c>
      <c r="N42" s="227">
        <f t="shared" si="7"/>
        <v>6802.6150728877401</v>
      </c>
      <c r="Y42" s="45"/>
    </row>
    <row r="43" spans="2:25" ht="12.75" outlineLevel="1" thickTop="1" x14ac:dyDescent="0.2">
      <c r="B43" s="1"/>
      <c r="Y43" s="45"/>
    </row>
    <row r="44" spans="2:25" outlineLevel="1" x14ac:dyDescent="0.2">
      <c r="B44" s="1"/>
      <c r="D44" s="45"/>
      <c r="E44" s="45"/>
      <c r="F44" s="45"/>
      <c r="G44" s="45"/>
      <c r="K44" s="45"/>
      <c r="L44" s="45"/>
      <c r="M44" s="45"/>
      <c r="N44" s="45"/>
      <c r="Y44" s="45"/>
    </row>
    <row r="45" spans="2:25" ht="12.75" outlineLevel="1" thickBot="1" x14ac:dyDescent="0.25">
      <c r="B45" s="77" t="s">
        <v>639</v>
      </c>
      <c r="I45" s="77" t="s">
        <v>640</v>
      </c>
      <c r="Y45" s="45"/>
    </row>
    <row r="46" spans="2:25" ht="12.75" outlineLevel="1" thickTop="1" x14ac:dyDescent="0.2">
      <c r="B46" s="234" t="s">
        <v>641</v>
      </c>
      <c r="C46" s="229"/>
      <c r="D46" s="221">
        <v>2018</v>
      </c>
      <c r="E46" s="235">
        <v>2019</v>
      </c>
      <c r="F46" s="235">
        <v>2020</v>
      </c>
      <c r="G46" s="236" t="s">
        <v>306</v>
      </c>
      <c r="I46" s="234" t="s">
        <v>641</v>
      </c>
      <c r="J46" s="229"/>
      <c r="K46" s="221">
        <v>2018</v>
      </c>
      <c r="L46" s="235">
        <v>2019</v>
      </c>
      <c r="M46" s="235">
        <v>2020</v>
      </c>
      <c r="N46" s="236" t="s">
        <v>306</v>
      </c>
      <c r="Y46" s="45"/>
    </row>
    <row r="47" spans="2:25" outlineLevel="1" x14ac:dyDescent="0.2">
      <c r="B47" s="230" t="s">
        <v>606</v>
      </c>
      <c r="C47" s="91" t="s">
        <v>178</v>
      </c>
      <c r="D47" s="156">
        <f t="shared" ref="D47:G52" si="8">P8*(J$18/J$20)</f>
        <v>15767.147107830924</v>
      </c>
      <c r="E47" s="156">
        <f t="shared" si="8"/>
        <v>15772.841435851604</v>
      </c>
      <c r="F47" s="156">
        <f t="shared" si="8"/>
        <v>16122.496763561683</v>
      </c>
      <c r="G47" s="224">
        <f t="shared" si="8"/>
        <v>17629.367007506316</v>
      </c>
      <c r="I47" s="230" t="s">
        <v>642</v>
      </c>
      <c r="J47" s="91" t="s">
        <v>178</v>
      </c>
      <c r="K47" s="156">
        <f t="shared" ref="K47:N52" si="9">P8*(J$19/J$20)</f>
        <v>16895.557720542514</v>
      </c>
      <c r="L47" s="156">
        <f t="shared" si="9"/>
        <v>15894.552242946917</v>
      </c>
      <c r="M47" s="156">
        <f t="shared" si="9"/>
        <v>16288.63618201905</v>
      </c>
      <c r="N47" s="224">
        <f t="shared" si="9"/>
        <v>18632.399168030068</v>
      </c>
      <c r="Y47" s="45"/>
    </row>
    <row r="48" spans="2:25" outlineLevel="1" x14ac:dyDescent="0.2">
      <c r="B48" s="231"/>
      <c r="C48" s="92" t="s">
        <v>179</v>
      </c>
      <c r="D48" s="156">
        <f t="shared" si="8"/>
        <v>17143.606433591267</v>
      </c>
      <c r="E48" s="156">
        <f t="shared" si="8"/>
        <v>17814.301747779693</v>
      </c>
      <c r="F48" s="156">
        <f t="shared" si="8"/>
        <v>18333.616090509393</v>
      </c>
      <c r="G48" s="224">
        <f t="shared" si="8"/>
        <v>19158.988087784186</v>
      </c>
      <c r="I48" s="231"/>
      <c r="J48" s="92" t="s">
        <v>179</v>
      </c>
      <c r="K48" s="156">
        <f t="shared" si="9"/>
        <v>18370.52638984684</v>
      </c>
      <c r="L48" s="156">
        <f t="shared" si="9"/>
        <v>17951.765441457195</v>
      </c>
      <c r="M48" s="156">
        <f t="shared" si="9"/>
        <v>18522.540694444313</v>
      </c>
      <c r="N48" s="224">
        <f t="shared" si="9"/>
        <v>20249.048848726798</v>
      </c>
      <c r="Y48" s="45"/>
    </row>
    <row r="49" spans="2:25" outlineLevel="1" x14ac:dyDescent="0.2">
      <c r="B49" s="231"/>
      <c r="C49" s="92" t="s">
        <v>180</v>
      </c>
      <c r="D49" s="156">
        <f t="shared" si="8"/>
        <v>12395.722956382087</v>
      </c>
      <c r="E49" s="156">
        <f t="shared" si="8"/>
        <v>12891.130776344737</v>
      </c>
      <c r="F49" s="156">
        <f t="shared" si="8"/>
        <v>13679.935027279373</v>
      </c>
      <c r="G49" s="224">
        <f t="shared" si="8"/>
        <v>14570.124846950581</v>
      </c>
      <c r="I49" s="231"/>
      <c r="J49" s="92" t="s">
        <v>180</v>
      </c>
      <c r="K49" s="156">
        <f t="shared" si="9"/>
        <v>13282.850173535229</v>
      </c>
      <c r="L49" s="156">
        <f t="shared" si="9"/>
        <v>12990.604922302598</v>
      </c>
      <c r="M49" s="156">
        <f t="shared" si="9"/>
        <v>13820.904288014686</v>
      </c>
      <c r="N49" s="224">
        <f t="shared" si="9"/>
        <v>15399.099806636601</v>
      </c>
      <c r="Y49" s="45"/>
    </row>
    <row r="50" spans="2:25" outlineLevel="1" x14ac:dyDescent="0.2">
      <c r="B50" s="231"/>
      <c r="C50" s="92" t="s">
        <v>181</v>
      </c>
      <c r="D50" s="156">
        <f t="shared" si="8"/>
        <v>8863.9806615469679</v>
      </c>
      <c r="E50" s="156">
        <f t="shared" si="8"/>
        <v>9073.7093747412619</v>
      </c>
      <c r="F50" s="156">
        <f t="shared" si="8"/>
        <v>9386.8273313817936</v>
      </c>
      <c r="G50" s="224">
        <f t="shared" si="8"/>
        <v>10130.35125571368</v>
      </c>
      <c r="I50" s="231"/>
      <c r="J50" s="92" t="s">
        <v>181</v>
      </c>
      <c r="K50" s="156">
        <f t="shared" si="9"/>
        <v>9498.3509620810582</v>
      </c>
      <c r="L50" s="156">
        <f t="shared" si="9"/>
        <v>9143.7264668320895</v>
      </c>
      <c r="M50" s="156">
        <f t="shared" si="9"/>
        <v>9483.5568923713909</v>
      </c>
      <c r="N50" s="224">
        <f t="shared" si="9"/>
        <v>10706.722948614311</v>
      </c>
      <c r="Y50" s="45"/>
    </row>
    <row r="51" spans="2:25" outlineLevel="1" x14ac:dyDescent="0.2">
      <c r="B51" s="231"/>
      <c r="C51" s="92" t="s">
        <v>182</v>
      </c>
      <c r="D51" s="156">
        <f t="shared" si="8"/>
        <v>9565.0168033366954</v>
      </c>
      <c r="E51" s="156">
        <f t="shared" si="8"/>
        <v>9945.7798538259831</v>
      </c>
      <c r="F51" s="156">
        <f t="shared" si="8"/>
        <v>10748.662280728297</v>
      </c>
      <c r="G51" s="224">
        <f t="shared" si="8"/>
        <v>10132.287484929222</v>
      </c>
      <c r="I51" s="231"/>
      <c r="J51" s="92" t="s">
        <v>182</v>
      </c>
      <c r="K51" s="156">
        <f t="shared" si="9"/>
        <v>10249.558299514481</v>
      </c>
      <c r="L51" s="156">
        <f t="shared" si="9"/>
        <v>10022.526259863514</v>
      </c>
      <c r="M51" s="156">
        <f t="shared" si="9"/>
        <v>10859.425305010667</v>
      </c>
      <c r="N51" s="224">
        <f t="shared" si="9"/>
        <v>10708.769340615194</v>
      </c>
      <c r="Y51" s="45"/>
    </row>
    <row r="52" spans="2:25" outlineLevel="1" x14ac:dyDescent="0.2">
      <c r="B52" s="231"/>
      <c r="C52" s="92" t="s">
        <v>183</v>
      </c>
      <c r="D52" s="156">
        <f t="shared" si="8"/>
        <v>9323.1166461562079</v>
      </c>
      <c r="E52" s="156">
        <f t="shared" si="8"/>
        <v>9880.1508325949781</v>
      </c>
      <c r="F52" s="156">
        <f t="shared" si="8"/>
        <v>10431.794776102815</v>
      </c>
      <c r="G52" s="224">
        <f t="shared" si="8"/>
        <v>12445.11328289367</v>
      </c>
      <c r="I52" s="231"/>
      <c r="J52" s="92" t="s">
        <v>183</v>
      </c>
      <c r="K52" s="156">
        <f t="shared" si="9"/>
        <v>9990.3460247573457</v>
      </c>
      <c r="L52" s="156">
        <f t="shared" si="9"/>
        <v>9956.3908136376594</v>
      </c>
      <c r="M52" s="156">
        <f t="shared" si="9"/>
        <v>10539.292537956015</v>
      </c>
      <c r="N52" s="224">
        <f t="shared" si="9"/>
        <v>13153.18458566867</v>
      </c>
      <c r="Y52" s="45"/>
    </row>
    <row r="53" spans="2:25" ht="12.75" outlineLevel="1" thickBot="1" x14ac:dyDescent="0.25">
      <c r="B53" s="232"/>
      <c r="C53" s="233" t="s">
        <v>184</v>
      </c>
      <c r="D53" s="226">
        <f>D32*10^6/D42/1000</f>
        <v>8752.4715329119354</v>
      </c>
      <c r="E53" s="226">
        <f>E32*10^6/E42/1000</f>
        <v>8811.0542576982243</v>
      </c>
      <c r="F53" s="226">
        <f>F32*10^6/F42/1000</f>
        <v>8868.7584872161988</v>
      </c>
      <c r="G53" s="227">
        <f>G32*10^6/G42/1000</f>
        <v>9501.7762234223683</v>
      </c>
      <c r="I53" s="232"/>
      <c r="J53" s="233" t="s">
        <v>184</v>
      </c>
      <c r="K53" s="226">
        <f>K32*10^6/K42/1000</f>
        <v>9378.7300656088155</v>
      </c>
      <c r="L53" s="226">
        <f>L32*10^6/L42/1000</f>
        <v>8879.1350941820583</v>
      </c>
      <c r="M53" s="226">
        <f>M32*10^6/M42/1000</f>
        <v>8960.2178670570847</v>
      </c>
      <c r="N53" s="227">
        <f>N32*10^6/N42/1000</f>
        <v>10042.314502296305</v>
      </c>
      <c r="Y53" s="45"/>
    </row>
    <row r="54" spans="2:25" ht="12.75" thickTop="1" x14ac:dyDescent="0.2">
      <c r="Y54" s="45"/>
    </row>
    <row r="55" spans="2:25" x14ac:dyDescent="0.2">
      <c r="Y55" s="45"/>
    </row>
    <row r="56" spans="2:25" x14ac:dyDescent="0.2">
      <c r="Y56" s="45"/>
    </row>
  </sheetData>
  <phoneticPr fontId="2" type="noConversion"/>
  <hyperlinks>
    <hyperlink ref="D1" location="Index!A1" display="Index!A1" xr:uid="{9B50940F-B033-4D23-AA2B-1CA38B81DF04}"/>
  </hyperlink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E7619-1306-4C0C-9808-801A530006E7}">
  <dimension ref="A1:C2"/>
  <sheetViews>
    <sheetView showGridLines="0" workbookViewId="0">
      <selection activeCell="A2" sqref="A2"/>
    </sheetView>
  </sheetViews>
  <sheetFormatPr defaultRowHeight="12" x14ac:dyDescent="0.2"/>
  <cols>
    <col min="14" max="14" width="16.28515625" bestFit="1" customWidth="1"/>
  </cols>
  <sheetData>
    <row r="1" spans="1:3" ht="15" x14ac:dyDescent="0.2">
      <c r="A1" s="25" t="s">
        <v>643</v>
      </c>
      <c r="C1" s="614" t="s">
        <v>0</v>
      </c>
    </row>
    <row r="2" spans="1:3" x14ac:dyDescent="0.2">
      <c r="C2" s="614"/>
    </row>
  </sheetData>
  <phoneticPr fontId="2" type="noConversion"/>
  <hyperlinks>
    <hyperlink ref="C1" location="Index!A1" display="Index!A1" xr:uid="{B1BD0FAF-C4DE-4856-B4C1-6200B97F5EB7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Index</vt:lpstr>
      <vt:lpstr>Control</vt:lpstr>
      <vt:lpstr>DCF</vt:lpstr>
      <vt:lpstr>Sales</vt:lpstr>
      <vt:lpstr>Sales Bridge</vt:lpstr>
      <vt:lpstr>Cost</vt:lpstr>
      <vt:lpstr>CapEx,D&amp;A</vt:lpstr>
      <vt:lpstr>Labor</vt:lpstr>
      <vt:lpstr>NWC</vt:lpstr>
      <vt:lpstr>BS</vt:lpstr>
      <vt:lpstr>Dart&gt;&gt;</vt:lpstr>
      <vt:lpstr>Dart_시장리서치</vt:lpstr>
      <vt:lpstr>Dart_FS</vt:lpstr>
      <vt:lpstr>Dart_Labor</vt:lpstr>
      <vt:lpstr>Dart_Cost</vt:lpstr>
      <vt:lpstr>Dart_Sales</vt:lpstr>
      <vt:lpstr>Dart_중고차 Sales</vt:lpstr>
      <vt:lpstr>Dart_Capture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taeminyang</dc:creator>
  <cp:keywords/>
  <dc:description/>
  <cp:lastModifiedBy>Taemin Yang</cp:lastModifiedBy>
  <cp:revision/>
  <dcterms:created xsi:type="dcterms:W3CDTF">2021-12-08T03:11:19Z</dcterms:created>
  <dcterms:modified xsi:type="dcterms:W3CDTF">2026-05-25T02:16:09Z</dcterms:modified>
  <cp:category/>
  <cp:contentStatus/>
</cp:coreProperties>
</file>