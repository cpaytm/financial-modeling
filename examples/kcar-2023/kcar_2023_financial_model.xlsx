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Assumptions" sheetId="2" state="visible" r:id="rId2"/>
    <sheet name="Model" sheetId="3" state="visible" r:id="rId3"/>
    <sheet name="Control" sheetId="4" state="visible" r:id="rId4"/>
    <sheet name="Formula Audit" sheetId="5" state="visible" r:id="rId5"/>
    <sheet name="Structure" sheetId="6" state="visible" r:id="rId6"/>
    <sheet name="Checks" sheetId="7" state="visible" r:id="rId7"/>
    <sheet name="Metadata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0.0%;(0.0%);&quot;-&quot;"/>
    <numFmt numFmtId="166" formatCode="_-* #,##0_-;-* #,##0_-;_-* &quot;-&quot;_-;_-@_-"/>
    <numFmt numFmtId="167" formatCode="0.0&quot;x&quot;"/>
  </numFmts>
  <fonts count="13">
    <font>
      <name val="Calibri"/>
      <family val="2"/>
      <color theme="1"/>
      <sz val="11"/>
      <scheme val="minor"/>
    </font>
    <font>
      <name val="Arial"/>
      <b val="1"/>
      <color rgb="001F4E79"/>
      <sz val="11"/>
    </font>
    <font>
      <name val="Arial"/>
      <b val="1"/>
      <color rgb="00FFFFFF"/>
      <sz val="9"/>
    </font>
    <font>
      <name val="Arial"/>
      <color rgb="00008000"/>
      <sz val="9"/>
    </font>
    <font>
      <name val="맑은 고딕"/>
      <color rgb="00000000"/>
      <sz val="9"/>
    </font>
    <font>
      <name val="Consolas"/>
      <color rgb="00808080"/>
      <sz val="8"/>
    </font>
    <font>
      <name val="Arial"/>
      <color rgb="00808080"/>
      <sz val="9"/>
    </font>
    <font>
      <name val="Arial"/>
      <color rgb="000000FF"/>
      <sz val="9"/>
    </font>
    <font>
      <name val="맑은 고딕"/>
      <color rgb="00808080"/>
      <sz val="9"/>
    </font>
    <font>
      <name val="맑은 고딕"/>
      <b val="1"/>
      <color rgb="00000000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008000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D9EAF7"/>
      </patternFill>
    </fill>
  </fills>
  <borders count="4">
    <border>
      <left/>
      <right/>
      <top/>
      <bottom/>
      <diagonal/>
    </border>
    <border>
      <bottom style="thin">
        <color rgb="00A6A6A6"/>
      </bottom>
    </border>
    <border>
      <top style="thin">
        <color rgb="00A6A6A6"/>
      </top>
      <bottom style="double">
        <color rgb="00000000"/>
      </bottom>
    </border>
    <border>
      <top style="thin">
        <color rgb="00A6A6A6"/>
      </top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  <xf numFmtId="164" fontId="7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165" fontId="7" fillId="0" borderId="0" applyAlignment="1" pivotButton="0" quotePrefix="0" xfId="0">
      <alignment horizontal="right" vertical="center"/>
    </xf>
    <xf numFmtId="166" fontId="7" fillId="0" borderId="0" applyAlignment="1" pivotButton="0" quotePrefix="0" xfId="0">
      <alignment horizontal="right" vertical="center"/>
    </xf>
    <xf numFmtId="167" fontId="7" fillId="0" borderId="0" applyAlignment="1" pivotButton="0" quotePrefix="0" xfId="0">
      <alignment horizontal="right" vertical="center"/>
    </xf>
    <xf numFmtId="0" fontId="9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5" fillId="3" borderId="0" pivotButton="0" quotePrefix="0" xfId="0"/>
    <xf numFmtId="0" fontId="6" fillId="3" borderId="0" pivotButton="0" quotePrefix="0" xfId="0"/>
    <xf numFmtId="166" fontId="11" fillId="3" borderId="2" applyAlignment="1" pivotButton="0" quotePrefix="0" xfId="0">
      <alignment horizontal="right" vertical="center"/>
    </xf>
    <xf numFmtId="0" fontId="0" fillId="4" borderId="0" pivotButton="0" quotePrefix="0" xfId="0"/>
    <xf numFmtId="0" fontId="9" fillId="4" borderId="0" applyAlignment="1" pivotButton="0" quotePrefix="0" xfId="0">
      <alignment horizontal="left" vertical="center"/>
    </xf>
    <xf numFmtId="0" fontId="5" fillId="4" borderId="0" pivotButton="0" quotePrefix="0" xfId="0"/>
    <xf numFmtId="0" fontId="6" fillId="4" borderId="0" pivotButton="0" quotePrefix="0" xfId="0"/>
    <xf numFmtId="166" fontId="11" fillId="4" borderId="3" applyAlignment="1" pivotButton="0" quotePrefix="0" xfId="0">
      <alignment horizontal="right" vertical="center"/>
    </xf>
    <xf numFmtId="166" fontId="10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165" fontId="3" fillId="0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167" fontId="3" fillId="0" borderId="0" applyAlignment="1" pivotButton="0" quotePrefix="0" xfId="0">
      <alignment horizontal="right" vertical="center"/>
    </xf>
    <xf numFmtId="0" fontId="9" fillId="0" borderId="0" pivotButton="0" quotePrefix="0" xfId="0"/>
    <xf numFmtId="0" fontId="10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0"/>
  <sheetViews>
    <sheetView showGridLines="0" zoomScale="100" workbookViewId="0">
      <selection activeCell="A1" sqref="A1"/>
    </sheetView>
  </sheetViews>
  <sheetFormatPr baseColWidth="8" defaultRowHeight="15"/>
  <cols>
    <col width="1.71" customWidth="1" min="1" max="1"/>
    <col width="22" customWidth="1" min="2" max="2"/>
    <col width="80" customWidth="1" min="3" max="3"/>
  </cols>
  <sheetData>
    <row r="1" ht="16.5" customHeight="1">
      <c r="B1" s="1" t="inlineStr">
        <is>
          <t>Index</t>
        </is>
      </c>
    </row>
    <row r="3">
      <c r="B3" s="2" t="inlineStr">
        <is>
          <t>Sheet</t>
        </is>
      </c>
      <c r="C3" s="2" t="inlineStr">
        <is>
          <t>Description</t>
        </is>
      </c>
    </row>
    <row r="4">
      <c r="B4" s="3">
        <f>HYPERLINK("#'Control'!A1","Control")</f>
        <v/>
      </c>
      <c r="C4" s="4" t="inlineStr">
        <is>
          <t>핵심 가정과 주요 결과 요약</t>
        </is>
      </c>
    </row>
    <row r="5">
      <c r="B5" s="3">
        <f>HYPERLINK("#'Assumptions'!A1","Assumptions")</f>
        <v/>
      </c>
      <c r="C5" s="4" t="inlineStr">
        <is>
          <t>모든 하드코딩 입력값 집중 시트</t>
        </is>
      </c>
    </row>
    <row r="6">
      <c r="B6" s="3">
        <f>HYPERLINK("#'Model'!A1","Model")</f>
        <v/>
      </c>
      <c r="C6" s="4" t="inlineStr">
        <is>
          <t>HTML D 그래프를 기간별 Excel 수식으로 전개한 계산 시트</t>
        </is>
      </c>
    </row>
    <row r="7">
      <c r="B7" s="3">
        <f>HYPERLINK("#'Formula Audit'!A1","Formula Audit")</f>
        <v/>
      </c>
      <c r="C7" s="4" t="inlineStr">
        <is>
          <t>생성된 모든 수식 셀 감사</t>
        </is>
      </c>
    </row>
    <row r="8">
      <c r="B8" s="3">
        <f>HYPERLINK("#'Structure'!A1","Structure")</f>
        <v/>
      </c>
      <c r="C8" s="4" t="inlineStr">
        <is>
          <t>HTML 노드 ID, parent, formula, description</t>
        </is>
      </c>
    </row>
    <row r="9">
      <c r="B9" s="3">
        <f>HYPERLINK("#'Checks'!A1","Checks")</f>
        <v/>
      </c>
      <c r="C9" s="4" t="inlineStr">
        <is>
          <t>수식/구조/정합성 검증</t>
        </is>
      </c>
    </row>
    <row r="10">
      <c r="B10" s="3">
        <f>HYPERLINK("#'Metadata'!A1","Metadata")</f>
        <v/>
      </c>
      <c r="C10" s="4" t="inlineStr">
        <is>
          <t>생성 정보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O62"/>
  <sheetViews>
    <sheetView showGridLines="0" zoomScale="100" workbookViewId="0">
      <pane xSplit="8" ySplit="4" topLeftCell="I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71" customWidth="1" min="1" max="1"/>
    <col width="4" customWidth="1" min="2" max="2"/>
    <col width="4" customWidth="1" min="3" max="3"/>
    <col width="4" customWidth="1" min="4" max="4"/>
    <col width="4" customWidth="1" min="5" max="5"/>
    <col width="28" customWidth="1" min="6" max="6"/>
    <col width="24" customWidth="1" min="7" max="7"/>
    <col width="10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16.5" customHeight="1">
      <c r="B1" s="1" t="inlineStr">
        <is>
          <t>Assumptions</t>
        </is>
      </c>
    </row>
    <row r="3">
      <c r="I3" s="5" t="inlineStr">
        <is>
          <t>Historical</t>
        </is>
      </c>
      <c r="J3" s="5" t="inlineStr">
        <is>
          <t>Forecast</t>
        </is>
      </c>
    </row>
    <row r="4">
      <c r="G4" s="2" t="inlineStr">
        <is>
          <t>ID</t>
        </is>
      </c>
      <c r="H4" s="2" t="inlineStr">
        <is>
          <t>Unit</t>
        </is>
      </c>
      <c r="I4" s="6" t="inlineStr">
        <is>
          <t>2023</t>
        </is>
      </c>
      <c r="J4" s="6" t="inlineStr">
        <is>
          <t>2024</t>
        </is>
      </c>
      <c r="K4" s="6" t="inlineStr">
        <is>
          <t>2025</t>
        </is>
      </c>
      <c r="L4" s="6" t="inlineStr">
        <is>
          <t>2026</t>
        </is>
      </c>
      <c r="M4" s="6" t="inlineStr">
        <is>
          <t>2027</t>
        </is>
      </c>
      <c r="N4" s="6" t="inlineStr">
        <is>
          <t>2028</t>
        </is>
      </c>
      <c r="O4" s="6" t="inlineStr">
        <is>
          <t>2029</t>
        </is>
      </c>
    </row>
    <row r="5">
      <c r="F5" s="7" t="inlineStr">
        <is>
          <t>SUV 시장판매대수</t>
        </is>
      </c>
      <c r="G5" s="8" t="inlineStr">
        <is>
          <t>market_suv</t>
        </is>
      </c>
      <c r="H5" s="9" t="inlineStr">
        <is>
          <t>대</t>
        </is>
      </c>
      <c r="I5" s="10" t="n">
        <v>420000</v>
      </c>
      <c r="J5" s="10" t="n">
        <v>438000</v>
      </c>
      <c r="K5" s="10" t="n">
        <v>456000</v>
      </c>
      <c r="L5" s="10" t="n">
        <v>475000</v>
      </c>
      <c r="M5" s="10" t="n">
        <v>494000</v>
      </c>
      <c r="N5" s="10" t="n">
        <v>514000</v>
      </c>
      <c r="O5" s="10" t="n">
        <v>535000</v>
      </c>
    </row>
    <row r="6">
      <c r="F6" s="11" t="inlineStr">
        <is>
          <t>이커머스 SUV 점유율</t>
        </is>
      </c>
      <c r="G6" s="8" t="inlineStr">
        <is>
          <t>ec_suv_share</t>
        </is>
      </c>
      <c r="H6" s="9" t="inlineStr">
        <is>
          <t>%</t>
        </is>
      </c>
      <c r="I6" s="12" t="n">
        <v>0.018</v>
      </c>
      <c r="J6" s="12" t="n">
        <v>0.019</v>
      </c>
      <c r="K6" s="12" t="n">
        <v>0.02</v>
      </c>
      <c r="L6" s="12" t="n">
        <v>0.021</v>
      </c>
      <c r="M6" s="12" t="n">
        <v>0.022</v>
      </c>
      <c r="N6" s="12" t="n">
        <v>0.023</v>
      </c>
      <c r="O6" s="12" t="n">
        <v>0.024</v>
      </c>
    </row>
    <row r="7">
      <c r="F7" s="7" t="inlineStr">
        <is>
          <t>이커머스 SUV ASP</t>
        </is>
      </c>
      <c r="G7" s="8" t="inlineStr">
        <is>
          <t>ec_suv_asp</t>
        </is>
      </c>
      <c r="H7" s="9" t="inlineStr">
        <is>
          <t>원/대</t>
        </is>
      </c>
      <c r="I7" s="13" t="n">
        <v>28000000</v>
      </c>
      <c r="J7" s="13" t="n">
        <v>28504000</v>
      </c>
      <c r="K7" s="13" t="n">
        <v>29017072</v>
      </c>
      <c r="L7" s="13" t="n">
        <v>29539379</v>
      </c>
      <c r="M7" s="13" t="n">
        <v>30071088</v>
      </c>
      <c r="N7" s="13" t="n">
        <v>30612368</v>
      </c>
      <c r="O7" s="13" t="n">
        <v>31163390</v>
      </c>
    </row>
    <row r="8">
      <c r="F8" s="7" t="inlineStr">
        <is>
          <t>대형 시장판매대수</t>
        </is>
      </c>
      <c r="G8" s="8" t="inlineStr">
        <is>
          <t>market_large</t>
        </is>
      </c>
      <c r="H8" s="9" t="inlineStr">
        <is>
          <t>대</t>
        </is>
      </c>
      <c r="I8" s="10" t="n">
        <v>105000</v>
      </c>
      <c r="J8" s="10" t="n">
        <v>108000</v>
      </c>
      <c r="K8" s="10" t="n">
        <v>111000</v>
      </c>
      <c r="L8" s="10" t="n">
        <v>114000</v>
      </c>
      <c r="M8" s="10" t="n">
        <v>118000</v>
      </c>
      <c r="N8" s="10" t="n">
        <v>121000</v>
      </c>
      <c r="O8" s="10" t="n">
        <v>125000</v>
      </c>
    </row>
    <row r="9">
      <c r="F9" s="11" t="inlineStr">
        <is>
          <t>이커머스 대형 점유율</t>
        </is>
      </c>
      <c r="G9" s="8" t="inlineStr">
        <is>
          <t>ec_large_share</t>
        </is>
      </c>
      <c r="H9" s="9" t="inlineStr">
        <is>
          <t>%</t>
        </is>
      </c>
      <c r="I9" s="12" t="n">
        <v>0.014</v>
      </c>
      <c r="J9" s="12" t="n">
        <v>0.015</v>
      </c>
      <c r="K9" s="12" t="n">
        <v>0.016</v>
      </c>
      <c r="L9" s="12" t="n">
        <v>0.017</v>
      </c>
      <c r="M9" s="12" t="n">
        <v>0.018</v>
      </c>
      <c r="N9" s="12" t="n">
        <v>0.019</v>
      </c>
      <c r="O9" s="12" t="n">
        <v>0.02</v>
      </c>
    </row>
    <row r="10">
      <c r="F10" s="7" t="inlineStr">
        <is>
          <t>이커머스 대형 ASP</t>
        </is>
      </c>
      <c r="G10" s="8" t="inlineStr">
        <is>
          <t>ec_large_asp</t>
        </is>
      </c>
      <c r="H10" s="9" t="inlineStr">
        <is>
          <t>원/대</t>
        </is>
      </c>
      <c r="I10" s="13" t="n">
        <v>32000000</v>
      </c>
      <c r="J10" s="13" t="n">
        <v>32576000</v>
      </c>
      <c r="K10" s="13" t="n">
        <v>33162368</v>
      </c>
      <c r="L10" s="13" t="n">
        <v>33759291</v>
      </c>
      <c r="M10" s="13" t="n">
        <v>34366958</v>
      </c>
      <c r="N10" s="13" t="n">
        <v>34985563</v>
      </c>
      <c r="O10" s="13" t="n">
        <v>35615303</v>
      </c>
    </row>
    <row r="11">
      <c r="F11" s="7" t="inlineStr">
        <is>
          <t>중형 시장판매대수</t>
        </is>
      </c>
      <c r="G11" s="8" t="inlineStr">
        <is>
          <t>market_midsize</t>
        </is>
      </c>
      <c r="H11" s="9" t="inlineStr">
        <is>
          <t>대</t>
        </is>
      </c>
      <c r="I11" s="10" t="n">
        <v>260000</v>
      </c>
      <c r="J11" s="10" t="n">
        <v>267000</v>
      </c>
      <c r="K11" s="10" t="n">
        <v>274000</v>
      </c>
      <c r="L11" s="10" t="n">
        <v>282000</v>
      </c>
      <c r="M11" s="10" t="n">
        <v>290000</v>
      </c>
      <c r="N11" s="10" t="n">
        <v>298000</v>
      </c>
      <c r="O11" s="10" t="n">
        <v>307000</v>
      </c>
    </row>
    <row r="12">
      <c r="F12" s="11" t="inlineStr">
        <is>
          <t>이커머스 중형 점유율</t>
        </is>
      </c>
      <c r="G12" s="8" t="inlineStr">
        <is>
          <t>ec_midsize_share</t>
        </is>
      </c>
      <c r="H12" s="9" t="inlineStr">
        <is>
          <t>%</t>
        </is>
      </c>
      <c r="I12" s="12" t="n">
        <v>0.017</v>
      </c>
      <c r="J12" s="12" t="n">
        <v>0.018</v>
      </c>
      <c r="K12" s="12" t="n">
        <v>0.019</v>
      </c>
      <c r="L12" s="12" t="n">
        <v>0.02</v>
      </c>
      <c r="M12" s="12" t="n">
        <v>0.021</v>
      </c>
      <c r="N12" s="12" t="n">
        <v>0.022</v>
      </c>
      <c r="O12" s="12" t="n">
        <v>0.023</v>
      </c>
    </row>
    <row r="13">
      <c r="F13" s="7" t="inlineStr">
        <is>
          <t>이커머스 중형 ASP</t>
        </is>
      </c>
      <c r="G13" s="8" t="inlineStr">
        <is>
          <t>ec_midsize_asp</t>
        </is>
      </c>
      <c r="H13" s="9" t="inlineStr">
        <is>
          <t>원/대</t>
        </is>
      </c>
      <c r="I13" s="13" t="n">
        <v>22000000</v>
      </c>
      <c r="J13" s="13" t="n">
        <v>22396000</v>
      </c>
      <c r="K13" s="13" t="n">
        <v>22799128</v>
      </c>
      <c r="L13" s="13" t="n">
        <v>23209512</v>
      </c>
      <c r="M13" s="13" t="n">
        <v>23627284</v>
      </c>
      <c r="N13" s="13" t="n">
        <v>24052575</v>
      </c>
      <c r="O13" s="13" t="n">
        <v>24485521</v>
      </c>
    </row>
    <row r="14">
      <c r="F14" s="7" t="inlineStr">
        <is>
          <t>준중형 시장판매대수</t>
        </is>
      </c>
      <c r="G14" s="8" t="inlineStr">
        <is>
          <t>market_compact</t>
        </is>
      </c>
      <c r="H14" s="9" t="inlineStr">
        <is>
          <t>대</t>
        </is>
      </c>
      <c r="I14" s="10" t="n">
        <v>230000</v>
      </c>
      <c r="J14" s="10" t="n">
        <v>234000</v>
      </c>
      <c r="K14" s="10" t="n">
        <v>239000</v>
      </c>
      <c r="L14" s="10" t="n">
        <v>244000</v>
      </c>
      <c r="M14" s="10" t="n">
        <v>249000</v>
      </c>
      <c r="N14" s="10" t="n">
        <v>254000</v>
      </c>
      <c r="O14" s="10" t="n">
        <v>259000</v>
      </c>
    </row>
    <row r="15">
      <c r="F15" s="11" t="inlineStr">
        <is>
          <t>이커머스 준중형 점유율</t>
        </is>
      </c>
      <c r="G15" s="8" t="inlineStr">
        <is>
          <t>ec_compact_share</t>
        </is>
      </c>
      <c r="H15" s="9" t="inlineStr">
        <is>
          <t>%</t>
        </is>
      </c>
      <c r="I15" s="12" t="n">
        <v>0.016</v>
      </c>
      <c r="J15" s="12" t="n">
        <v>0.017</v>
      </c>
      <c r="K15" s="12" t="n">
        <v>0.018</v>
      </c>
      <c r="L15" s="12" t="n">
        <v>0.019</v>
      </c>
      <c r="M15" s="12" t="n">
        <v>0.02</v>
      </c>
      <c r="N15" s="12" t="n">
        <v>0.021</v>
      </c>
      <c r="O15" s="12" t="n">
        <v>0.022</v>
      </c>
    </row>
    <row r="16">
      <c r="F16" s="7" t="inlineStr">
        <is>
          <t>이커머스 준중형 ASP</t>
        </is>
      </c>
      <c r="G16" s="8" t="inlineStr">
        <is>
          <t>ec_compact_asp</t>
        </is>
      </c>
      <c r="H16" s="9" t="inlineStr">
        <is>
          <t>원/대</t>
        </is>
      </c>
      <c r="I16" s="13" t="n">
        <v>16500000</v>
      </c>
      <c r="J16" s="13" t="n">
        <v>16797000</v>
      </c>
      <c r="K16" s="13" t="n">
        <v>17099346</v>
      </c>
      <c r="L16" s="13" t="n">
        <v>17407134</v>
      </c>
      <c r="M16" s="13" t="n">
        <v>17720463</v>
      </c>
      <c r="N16" s="13" t="n">
        <v>18039431</v>
      </c>
      <c r="O16" s="13" t="n">
        <v>18364141</v>
      </c>
    </row>
    <row r="17">
      <c r="F17" s="7" t="inlineStr">
        <is>
          <t>소형 시장판매대수</t>
        </is>
      </c>
      <c r="G17" s="8" t="inlineStr">
        <is>
          <t>market_small</t>
        </is>
      </c>
      <c r="H17" s="9" t="inlineStr">
        <is>
          <t>대</t>
        </is>
      </c>
      <c r="I17" s="10" t="n">
        <v>150000</v>
      </c>
      <c r="J17" s="10" t="n">
        <v>151000</v>
      </c>
      <c r="K17" s="10" t="n">
        <v>152000</v>
      </c>
      <c r="L17" s="10" t="n">
        <v>154000</v>
      </c>
      <c r="M17" s="10" t="n">
        <v>155000</v>
      </c>
      <c r="N17" s="10" t="n">
        <v>157000</v>
      </c>
      <c r="O17" s="10" t="n">
        <v>158000</v>
      </c>
    </row>
    <row r="18">
      <c r="F18" s="11" t="inlineStr">
        <is>
          <t>이커머스 소형 점유율</t>
        </is>
      </c>
      <c r="G18" s="8" t="inlineStr">
        <is>
          <t>ec_small_share</t>
        </is>
      </c>
      <c r="H18" s="9" t="inlineStr">
        <is>
          <t>%</t>
        </is>
      </c>
      <c r="I18" s="12" t="n">
        <v>0.013</v>
      </c>
      <c r="J18" s="12" t="n">
        <v>0.014</v>
      </c>
      <c r="K18" s="12" t="n">
        <v>0.015</v>
      </c>
      <c r="L18" s="12" t="n">
        <v>0.016</v>
      </c>
      <c r="M18" s="12" t="n">
        <v>0.017</v>
      </c>
      <c r="N18" s="12" t="n">
        <v>0.018</v>
      </c>
      <c r="O18" s="12" t="n">
        <v>0.019</v>
      </c>
    </row>
    <row r="19">
      <c r="F19" s="7" t="inlineStr">
        <is>
          <t>이커머스 소형 ASP</t>
        </is>
      </c>
      <c r="G19" s="8" t="inlineStr">
        <is>
          <t>ec_small_asp</t>
        </is>
      </c>
      <c r="H19" s="9" t="inlineStr">
        <is>
          <t>원/대</t>
        </is>
      </c>
      <c r="I19" s="13" t="n">
        <v>11500000</v>
      </c>
      <c r="J19" s="13" t="n">
        <v>11707000</v>
      </c>
      <c r="K19" s="13" t="n">
        <v>11917726</v>
      </c>
      <c r="L19" s="13" t="n">
        <v>12132245</v>
      </c>
      <c r="M19" s="13" t="n">
        <v>12350625</v>
      </c>
      <c r="N19" s="13" t="n">
        <v>12572937</v>
      </c>
      <c r="O19" s="13" t="n">
        <v>12799250</v>
      </c>
    </row>
    <row r="20">
      <c r="F20" s="7" t="inlineStr">
        <is>
          <t>화물차 시장판매대수</t>
        </is>
      </c>
      <c r="G20" s="8" t="inlineStr">
        <is>
          <t>market_truck</t>
        </is>
      </c>
      <c r="H20" s="9" t="inlineStr">
        <is>
          <t>대</t>
        </is>
      </c>
      <c r="I20" s="10" t="n">
        <v>120000</v>
      </c>
      <c r="J20" s="10" t="n">
        <v>123000</v>
      </c>
      <c r="K20" s="10" t="n">
        <v>126000</v>
      </c>
      <c r="L20" s="10" t="n">
        <v>129000</v>
      </c>
      <c r="M20" s="10" t="n">
        <v>132000</v>
      </c>
      <c r="N20" s="10" t="n">
        <v>136000</v>
      </c>
      <c r="O20" s="10" t="n">
        <v>139000</v>
      </c>
    </row>
    <row r="21">
      <c r="F21" s="11" t="inlineStr">
        <is>
          <t>이커머스 화물차 점유율</t>
        </is>
      </c>
      <c r="G21" s="8" t="inlineStr">
        <is>
          <t>ec_truck_share</t>
        </is>
      </c>
      <c r="H21" s="9" t="inlineStr">
        <is>
          <t>%</t>
        </is>
      </c>
      <c r="I21" s="12" t="n">
        <v>0.012</v>
      </c>
      <c r="J21" s="12" t="n">
        <v>0.013</v>
      </c>
      <c r="K21" s="12" t="n">
        <v>0.014</v>
      </c>
      <c r="L21" s="12" t="n">
        <v>0.015</v>
      </c>
      <c r="M21" s="12" t="n">
        <v>0.016</v>
      </c>
      <c r="N21" s="12" t="n">
        <v>0.017</v>
      </c>
      <c r="O21" s="12" t="n">
        <v>0.018</v>
      </c>
    </row>
    <row r="22">
      <c r="F22" s="7" t="inlineStr">
        <is>
          <t>이커머스 화물차 ASP</t>
        </is>
      </c>
      <c r="G22" s="8" t="inlineStr">
        <is>
          <t>ec_truck_asp</t>
        </is>
      </c>
      <c r="H22" s="9" t="inlineStr">
        <is>
          <t>원/대</t>
        </is>
      </c>
      <c r="I22" s="13" t="n">
        <v>18500000</v>
      </c>
      <c r="J22" s="13" t="n">
        <v>18833000</v>
      </c>
      <c r="K22" s="13" t="n">
        <v>19171994</v>
      </c>
      <c r="L22" s="13" t="n">
        <v>19517090</v>
      </c>
      <c r="M22" s="13" t="n">
        <v>19868398</v>
      </c>
      <c r="N22" s="13" t="n">
        <v>20226029</v>
      </c>
      <c r="O22" s="13" t="n">
        <v>20590097</v>
      </c>
    </row>
    <row r="23">
      <c r="F23" s="7" t="inlineStr">
        <is>
          <t>기타 시장판매대수</t>
        </is>
      </c>
      <c r="G23" s="8" t="inlineStr">
        <is>
          <t>market_other</t>
        </is>
      </c>
      <c r="H23" s="9" t="inlineStr">
        <is>
          <t>대</t>
        </is>
      </c>
      <c r="I23" s="10" t="n">
        <v>90000</v>
      </c>
      <c r="J23" s="10" t="n">
        <v>91000</v>
      </c>
      <c r="K23" s="10" t="n">
        <v>93000</v>
      </c>
      <c r="L23" s="10" t="n">
        <v>94000</v>
      </c>
      <c r="M23" s="10" t="n">
        <v>96000</v>
      </c>
      <c r="N23" s="10" t="n">
        <v>97000</v>
      </c>
      <c r="O23" s="10" t="n">
        <v>99000</v>
      </c>
    </row>
    <row r="24">
      <c r="F24" s="11" t="inlineStr">
        <is>
          <t>이커머스 기타 점유율</t>
        </is>
      </c>
      <c r="G24" s="8" t="inlineStr">
        <is>
          <t>ec_other_share</t>
        </is>
      </c>
      <c r="H24" s="9" t="inlineStr">
        <is>
          <t>%</t>
        </is>
      </c>
      <c r="I24" s="12" t="n">
        <v>0.01</v>
      </c>
      <c r="J24" s="12" t="n">
        <v>0.011</v>
      </c>
      <c r="K24" s="12" t="n">
        <v>0.012</v>
      </c>
      <c r="L24" s="12" t="n">
        <v>0.013</v>
      </c>
      <c r="M24" s="12" t="n">
        <v>0.014</v>
      </c>
      <c r="N24" s="12" t="n">
        <v>0.015</v>
      </c>
      <c r="O24" s="12" t="n">
        <v>0.016</v>
      </c>
    </row>
    <row r="25">
      <c r="F25" s="7" t="inlineStr">
        <is>
          <t>이커머스 기타 ASP</t>
        </is>
      </c>
      <c r="G25" s="8" t="inlineStr">
        <is>
          <t>ec_other_asp</t>
        </is>
      </c>
      <c r="H25" s="9" t="inlineStr">
        <is>
          <t>원/대</t>
        </is>
      </c>
      <c r="I25" s="13" t="n">
        <v>14500000</v>
      </c>
      <c r="J25" s="13" t="n">
        <v>14761000</v>
      </c>
      <c r="K25" s="13" t="n">
        <v>15026698</v>
      </c>
      <c r="L25" s="13" t="n">
        <v>15297179</v>
      </c>
      <c r="M25" s="13" t="n">
        <v>15572528</v>
      </c>
      <c r="N25" s="13" t="n">
        <v>15852833</v>
      </c>
      <c r="O25" s="13" t="n">
        <v>16138184</v>
      </c>
    </row>
    <row r="26">
      <c r="F26" s="11" t="inlineStr">
        <is>
          <t>지점내방 SUV 점유율</t>
        </is>
      </c>
      <c r="G26" s="8" t="inlineStr">
        <is>
          <t>br_suv_share</t>
        </is>
      </c>
      <c r="H26" s="9" t="inlineStr">
        <is>
          <t>%</t>
        </is>
      </c>
      <c r="I26" s="12" t="n">
        <v>0.032</v>
      </c>
      <c r="J26" s="12" t="n">
        <v>0.0326</v>
      </c>
      <c r="K26" s="12" t="n">
        <v>0.0332</v>
      </c>
      <c r="L26" s="12" t="n">
        <v>0.0338</v>
      </c>
      <c r="M26" s="12" t="n">
        <v>0.0344</v>
      </c>
      <c r="N26" s="12" t="n">
        <v>0.035</v>
      </c>
      <c r="O26" s="12" t="n">
        <v>0.0356</v>
      </c>
    </row>
    <row r="27">
      <c r="F27" s="7" t="inlineStr">
        <is>
          <t>지점내방 SUV ASP</t>
        </is>
      </c>
      <c r="G27" s="8" t="inlineStr">
        <is>
          <t>br_suv_asp</t>
        </is>
      </c>
      <c r="H27" s="9" t="inlineStr">
        <is>
          <t>원/대</t>
        </is>
      </c>
      <c r="I27" s="13" t="n">
        <v>28500000</v>
      </c>
      <c r="J27" s="13" t="n">
        <v>28956000</v>
      </c>
      <c r="K27" s="13" t="n">
        <v>29419296</v>
      </c>
      <c r="L27" s="13" t="n">
        <v>29890005</v>
      </c>
      <c r="M27" s="13" t="n">
        <v>30368245</v>
      </c>
      <c r="N27" s="13" t="n">
        <v>30854137</v>
      </c>
      <c r="O27" s="13" t="n">
        <v>31347803</v>
      </c>
    </row>
    <row r="28">
      <c r="F28" s="11" t="inlineStr">
        <is>
          <t>지점내방 대형 점유율</t>
        </is>
      </c>
      <c r="G28" s="8" t="inlineStr">
        <is>
          <t>br_large_share</t>
        </is>
      </c>
      <c r="H28" s="9" t="inlineStr">
        <is>
          <t>%</t>
        </is>
      </c>
      <c r="I28" s="12" t="n">
        <v>0.026</v>
      </c>
      <c r="J28" s="12" t="n">
        <v>0.0266</v>
      </c>
      <c r="K28" s="12" t="n">
        <v>0.0272</v>
      </c>
      <c r="L28" s="12" t="n">
        <v>0.0278</v>
      </c>
      <c r="M28" s="12" t="n">
        <v>0.0284</v>
      </c>
      <c r="N28" s="12" t="n">
        <v>0.029</v>
      </c>
      <c r="O28" s="12" t="n">
        <v>0.0296</v>
      </c>
    </row>
    <row r="29">
      <c r="F29" s="7" t="inlineStr">
        <is>
          <t>지점내방 대형 ASP</t>
        </is>
      </c>
      <c r="G29" s="8" t="inlineStr">
        <is>
          <t>br_large_asp</t>
        </is>
      </c>
      <c r="H29" s="9" t="inlineStr">
        <is>
          <t>원/대</t>
        </is>
      </c>
      <c r="I29" s="13" t="n">
        <v>32600000</v>
      </c>
      <c r="J29" s="13" t="n">
        <v>33121600</v>
      </c>
      <c r="K29" s="13" t="n">
        <v>33651546</v>
      </c>
      <c r="L29" s="13" t="n">
        <v>34189970</v>
      </c>
      <c r="M29" s="13" t="n">
        <v>34737010</v>
      </c>
      <c r="N29" s="13" t="n">
        <v>35292802</v>
      </c>
      <c r="O29" s="13" t="n">
        <v>35857487</v>
      </c>
    </row>
    <row r="30">
      <c r="F30" s="11" t="inlineStr">
        <is>
          <t>지점내방 중형 점유율</t>
        </is>
      </c>
      <c r="G30" s="8" t="inlineStr">
        <is>
          <t>br_midsize_share</t>
        </is>
      </c>
      <c r="H30" s="9" t="inlineStr">
        <is>
          <t>%</t>
        </is>
      </c>
      <c r="I30" s="12" t="n">
        <v>0.031</v>
      </c>
      <c r="J30" s="12" t="n">
        <v>0.0316</v>
      </c>
      <c r="K30" s="12" t="n">
        <v>0.0322</v>
      </c>
      <c r="L30" s="12" t="n">
        <v>0.0328</v>
      </c>
      <c r="M30" s="12" t="n">
        <v>0.0334</v>
      </c>
      <c r="N30" s="12" t="n">
        <v>0.034</v>
      </c>
      <c r="O30" s="12" t="n">
        <v>0.0346</v>
      </c>
    </row>
    <row r="31">
      <c r="F31" s="7" t="inlineStr">
        <is>
          <t>지점내방 중형 ASP</t>
        </is>
      </c>
      <c r="G31" s="8" t="inlineStr">
        <is>
          <t>br_midsize_asp</t>
        </is>
      </c>
      <c r="H31" s="9" t="inlineStr">
        <is>
          <t>원/대</t>
        </is>
      </c>
      <c r="I31" s="13" t="n">
        <v>22400000</v>
      </c>
      <c r="J31" s="13" t="n">
        <v>22758400</v>
      </c>
      <c r="K31" s="13" t="n">
        <v>23122534</v>
      </c>
      <c r="L31" s="13" t="n">
        <v>23492495</v>
      </c>
      <c r="M31" s="13" t="n">
        <v>23868375</v>
      </c>
      <c r="N31" s="13" t="n">
        <v>24250269</v>
      </c>
      <c r="O31" s="13" t="n">
        <v>24638273</v>
      </c>
    </row>
    <row r="32">
      <c r="F32" s="11" t="inlineStr">
        <is>
          <t>지점내방 준중형 점유율</t>
        </is>
      </c>
      <c r="G32" s="8" t="inlineStr">
        <is>
          <t>br_compact_share</t>
        </is>
      </c>
      <c r="H32" s="9" t="inlineStr">
        <is>
          <t>%</t>
        </is>
      </c>
      <c r="I32" s="12" t="n">
        <v>0.03</v>
      </c>
      <c r="J32" s="12" t="n">
        <v>0.0306</v>
      </c>
      <c r="K32" s="12" t="n">
        <v>0.0312</v>
      </c>
      <c r="L32" s="12" t="n">
        <v>0.0318</v>
      </c>
      <c r="M32" s="12" t="n">
        <v>0.0324</v>
      </c>
      <c r="N32" s="12" t="n">
        <v>0.033</v>
      </c>
      <c r="O32" s="12" t="n">
        <v>0.0336</v>
      </c>
    </row>
    <row r="33">
      <c r="F33" s="7" t="inlineStr">
        <is>
          <t>지점내방 준중형 ASP</t>
        </is>
      </c>
      <c r="G33" s="8" t="inlineStr">
        <is>
          <t>br_compact_asp</t>
        </is>
      </c>
      <c r="H33" s="9" t="inlineStr">
        <is>
          <t>원/대</t>
        </is>
      </c>
      <c r="I33" s="13" t="n">
        <v>16800000</v>
      </c>
      <c r="J33" s="13" t="n">
        <v>17068800</v>
      </c>
      <c r="K33" s="13" t="n">
        <v>17341901</v>
      </c>
      <c r="L33" s="13" t="n">
        <v>17619371</v>
      </c>
      <c r="M33" s="13" t="n">
        <v>17901281</v>
      </c>
      <c r="N33" s="13" t="n">
        <v>18187702</v>
      </c>
      <c r="O33" s="13" t="n">
        <v>18478705</v>
      </c>
    </row>
    <row r="34">
      <c r="F34" s="11" t="inlineStr">
        <is>
          <t>지점내방 소형 점유율</t>
        </is>
      </c>
      <c r="G34" s="8" t="inlineStr">
        <is>
          <t>br_small_share</t>
        </is>
      </c>
      <c r="H34" s="9" t="inlineStr">
        <is>
          <t>%</t>
        </is>
      </c>
      <c r="I34" s="12" t="n">
        <v>0.025</v>
      </c>
      <c r="J34" s="12" t="n">
        <v>0.0256</v>
      </c>
      <c r="K34" s="12" t="n">
        <v>0.0262</v>
      </c>
      <c r="L34" s="12" t="n">
        <v>0.0268</v>
      </c>
      <c r="M34" s="12" t="n">
        <v>0.0274</v>
      </c>
      <c r="N34" s="12" t="n">
        <v>0.028</v>
      </c>
      <c r="O34" s="12" t="n">
        <v>0.0286</v>
      </c>
    </row>
    <row r="35">
      <c r="F35" s="7" t="inlineStr">
        <is>
          <t>지점내방 소형 ASP</t>
        </is>
      </c>
      <c r="G35" s="8" t="inlineStr">
        <is>
          <t>br_small_asp</t>
        </is>
      </c>
      <c r="H35" s="9" t="inlineStr">
        <is>
          <t>원/대</t>
        </is>
      </c>
      <c r="I35" s="13" t="n">
        <v>11700000</v>
      </c>
      <c r="J35" s="13" t="n">
        <v>11887200</v>
      </c>
      <c r="K35" s="13" t="n">
        <v>12077395</v>
      </c>
      <c r="L35" s="13" t="n">
        <v>12270634</v>
      </c>
      <c r="M35" s="13" t="n">
        <v>12466964</v>
      </c>
      <c r="N35" s="13" t="n">
        <v>12666435</v>
      </c>
      <c r="O35" s="13" t="n">
        <v>12869098</v>
      </c>
    </row>
    <row r="36">
      <c r="F36" s="11" t="inlineStr">
        <is>
          <t>지점내방 화물차 점유율</t>
        </is>
      </c>
      <c r="G36" s="8" t="inlineStr">
        <is>
          <t>br_truck_share</t>
        </is>
      </c>
      <c r="H36" s="9" t="inlineStr">
        <is>
          <t>%</t>
        </is>
      </c>
      <c r="I36" s="12" t="n">
        <v>0.023</v>
      </c>
      <c r="J36" s="12" t="n">
        <v>0.0236</v>
      </c>
      <c r="K36" s="12" t="n">
        <v>0.0242</v>
      </c>
      <c r="L36" s="12" t="n">
        <v>0.0248</v>
      </c>
      <c r="M36" s="12" t="n">
        <v>0.0254</v>
      </c>
      <c r="N36" s="12" t="n">
        <v>0.026</v>
      </c>
      <c r="O36" s="12" t="n">
        <v>0.0266</v>
      </c>
    </row>
    <row r="37">
      <c r="F37" s="7" t="inlineStr">
        <is>
          <t>지점내방 화물차 ASP</t>
        </is>
      </c>
      <c r="G37" s="8" t="inlineStr">
        <is>
          <t>br_truck_asp</t>
        </is>
      </c>
      <c r="H37" s="9" t="inlineStr">
        <is>
          <t>원/대</t>
        </is>
      </c>
      <c r="I37" s="13" t="n">
        <v>18800000</v>
      </c>
      <c r="J37" s="13" t="n">
        <v>19100800</v>
      </c>
      <c r="K37" s="13" t="n">
        <v>19406413</v>
      </c>
      <c r="L37" s="13" t="n">
        <v>19716915</v>
      </c>
      <c r="M37" s="13" t="n">
        <v>20032386</v>
      </c>
      <c r="N37" s="13" t="n">
        <v>20352904</v>
      </c>
      <c r="O37" s="13" t="n">
        <v>20678551</v>
      </c>
    </row>
    <row r="38">
      <c r="F38" s="11" t="inlineStr">
        <is>
          <t>지점내방 기타 점유율</t>
        </is>
      </c>
      <c r="G38" s="8" t="inlineStr">
        <is>
          <t>br_other_share</t>
        </is>
      </c>
      <c r="H38" s="9" t="inlineStr">
        <is>
          <t>%</t>
        </is>
      </c>
      <c r="I38" s="12" t="n">
        <v>0.02</v>
      </c>
      <c r="J38" s="12" t="n">
        <v>0.0206</v>
      </c>
      <c r="K38" s="12" t="n">
        <v>0.0212</v>
      </c>
      <c r="L38" s="12" t="n">
        <v>0.0218</v>
      </c>
      <c r="M38" s="12" t="n">
        <v>0.0224</v>
      </c>
      <c r="N38" s="12" t="n">
        <v>0.023</v>
      </c>
      <c r="O38" s="12" t="n">
        <v>0.0236</v>
      </c>
    </row>
    <row r="39">
      <c r="F39" s="7" t="inlineStr">
        <is>
          <t>지점내방 기타 ASP</t>
        </is>
      </c>
      <c r="G39" s="8" t="inlineStr">
        <is>
          <t>br_other_asp</t>
        </is>
      </c>
      <c r="H39" s="9" t="inlineStr">
        <is>
          <t>원/대</t>
        </is>
      </c>
      <c r="I39" s="13" t="n">
        <v>14800000</v>
      </c>
      <c r="J39" s="13" t="n">
        <v>15036800</v>
      </c>
      <c r="K39" s="13" t="n">
        <v>15277389</v>
      </c>
      <c r="L39" s="13" t="n">
        <v>15521827</v>
      </c>
      <c r="M39" s="13" t="n">
        <v>15770176</v>
      </c>
      <c r="N39" s="13" t="n">
        <v>16022499</v>
      </c>
      <c r="O39" s="13" t="n">
        <v>16278859</v>
      </c>
    </row>
    <row r="40">
      <c r="E40" s="7" t="inlineStr">
        <is>
          <t>경매 상품 매출</t>
        </is>
      </c>
      <c r="G40" s="8" t="inlineStr">
        <is>
          <t>auction_product_sales</t>
        </is>
      </c>
      <c r="H40" s="9" t="inlineStr">
        <is>
          <t>원</t>
        </is>
      </c>
      <c r="I40" s="13" t="n">
        <v>42000000000</v>
      </c>
      <c r="J40" s="13" t="n">
        <v>43680000000</v>
      </c>
      <c r="K40" s="13" t="n">
        <v>45427200000</v>
      </c>
      <c r="L40" s="13" t="n">
        <v>47017152000</v>
      </c>
      <c r="M40" s="13" t="n">
        <v>48662752320</v>
      </c>
      <c r="N40" s="13" t="n">
        <v>50122634890</v>
      </c>
      <c r="O40" s="13" t="n">
        <v>51626313937</v>
      </c>
    </row>
    <row r="41">
      <c r="E41" s="7" t="inlineStr">
        <is>
          <t>경매 용역 매출</t>
        </is>
      </c>
      <c r="G41" s="8" t="inlineStr">
        <is>
          <t>auction_service_sales</t>
        </is>
      </c>
      <c r="H41" s="9" t="inlineStr">
        <is>
          <t>원</t>
        </is>
      </c>
      <c r="I41" s="13" t="n">
        <v>9000000000</v>
      </c>
      <c r="J41" s="13" t="n">
        <v>9450000000</v>
      </c>
      <c r="K41" s="13" t="n">
        <v>9922500000</v>
      </c>
      <c r="L41" s="13" t="n">
        <v>10369012500</v>
      </c>
      <c r="M41" s="13" t="n">
        <v>10783773000</v>
      </c>
      <c r="N41" s="13" t="n">
        <v>11161205055</v>
      </c>
      <c r="O41" s="13" t="n">
        <v>11551847232</v>
      </c>
    </row>
    <row r="42">
      <c r="E42" s="7" t="inlineStr">
        <is>
          <t>렌터카 매각 매출</t>
        </is>
      </c>
      <c r="G42" s="8" t="inlineStr">
        <is>
          <t>rental_disposal_sales</t>
        </is>
      </c>
      <c r="H42" s="9" t="inlineStr">
        <is>
          <t>원</t>
        </is>
      </c>
      <c r="I42" s="13" t="n">
        <v>36000000000</v>
      </c>
      <c r="J42" s="13" t="n">
        <v>37080000000</v>
      </c>
      <c r="K42" s="13" t="n">
        <v>38192400000</v>
      </c>
      <c r="L42" s="13" t="n">
        <v>39261787200</v>
      </c>
      <c r="M42" s="13" t="n">
        <v>40243331880</v>
      </c>
      <c r="N42" s="13" t="n">
        <v>41249415177</v>
      </c>
      <c r="O42" s="13" t="n">
        <v>42074403481</v>
      </c>
    </row>
    <row r="43">
      <c r="E43" s="7" t="inlineStr">
        <is>
          <t>장기렌트 매출</t>
        </is>
      </c>
      <c r="G43" s="8" t="inlineStr">
        <is>
          <t>longterm_rental_sales</t>
        </is>
      </c>
      <c r="H43" s="9" t="inlineStr">
        <is>
          <t>원</t>
        </is>
      </c>
      <c r="I43" s="13" t="n">
        <v>18000000000</v>
      </c>
      <c r="J43" s="13" t="n">
        <v>18810000000</v>
      </c>
      <c r="K43" s="13" t="n">
        <v>19656450000</v>
      </c>
      <c r="L43" s="13" t="n">
        <v>20442708000</v>
      </c>
      <c r="M43" s="13" t="n">
        <v>21219530904</v>
      </c>
      <c r="N43" s="13" t="n">
        <v>21962214486</v>
      </c>
      <c r="O43" s="13" t="n">
        <v>22686967564</v>
      </c>
    </row>
    <row r="44">
      <c r="F44" s="11" t="inlineStr">
        <is>
          <t>이커머스 용역 매출률</t>
        </is>
      </c>
      <c r="G44" s="8" t="inlineStr">
        <is>
          <t>ecommerce_service_rate</t>
        </is>
      </c>
      <c r="H44" s="9" t="inlineStr">
        <is>
          <t>%</t>
        </is>
      </c>
      <c r="I44" s="12" t="n">
        <v>0.008</v>
      </c>
      <c r="J44" s="12" t="n">
        <v>0.008200000000000001</v>
      </c>
      <c r="K44" s="12" t="n">
        <v>0.008399999999999999</v>
      </c>
      <c r="L44" s="12" t="n">
        <v>0.0086</v>
      </c>
      <c r="M44" s="12" t="n">
        <v>0.008800000000000001</v>
      </c>
      <c r="N44" s="12" t="n">
        <v>0.008999999999999999</v>
      </c>
      <c r="O44" s="12" t="n">
        <v>0.0092</v>
      </c>
    </row>
    <row r="45">
      <c r="F45" s="11" t="inlineStr">
        <is>
          <t>지점내방 용역 매출률</t>
        </is>
      </c>
      <c r="G45" s="8" t="inlineStr">
        <is>
          <t>branch_service_rate</t>
        </is>
      </c>
      <c r="H45" s="9" t="inlineStr">
        <is>
          <t>%</t>
        </is>
      </c>
      <c r="I45" s="12" t="n">
        <v>0.006</v>
      </c>
      <c r="J45" s="12" t="n">
        <v>0.0061</v>
      </c>
      <c r="K45" s="12" t="n">
        <v>0.0062</v>
      </c>
      <c r="L45" s="12" t="n">
        <v>0.0063</v>
      </c>
      <c r="M45" s="12" t="n">
        <v>0.0064</v>
      </c>
      <c r="N45" s="12" t="n">
        <v>0.0065</v>
      </c>
      <c r="O45" s="12" t="n">
        <v>0.0066</v>
      </c>
    </row>
    <row r="46">
      <c r="E46" s="7" t="inlineStr">
        <is>
          <t>기타 매출</t>
        </is>
      </c>
      <c r="G46" s="8" t="inlineStr">
        <is>
          <t>other_sales</t>
        </is>
      </c>
      <c r="H46" s="9" t="inlineStr">
        <is>
          <t>원</t>
        </is>
      </c>
      <c r="I46" s="13" t="n">
        <v>12000000000</v>
      </c>
      <c r="J46" s="13" t="n">
        <v>12360000000</v>
      </c>
      <c r="K46" s="13" t="n">
        <v>12730800000</v>
      </c>
      <c r="L46" s="13" t="n">
        <v>13112724000</v>
      </c>
      <c r="M46" s="13" t="n">
        <v>13479880272</v>
      </c>
      <c r="N46" s="13" t="n">
        <v>13857316920</v>
      </c>
      <c r="O46" s="13" t="n">
        <v>14203749843</v>
      </c>
    </row>
    <row r="47">
      <c r="E47" s="7" t="inlineStr">
        <is>
          <t>중고차 1대당 원가</t>
        </is>
      </c>
      <c r="G47" s="8" t="inlineStr">
        <is>
          <t>unit_inventory_cost</t>
        </is>
      </c>
      <c r="H47" s="9" t="inlineStr">
        <is>
          <t>원/대</t>
        </is>
      </c>
      <c r="I47" s="13" t="n">
        <v>18000000</v>
      </c>
      <c r="J47" s="13" t="n">
        <v>18270000</v>
      </c>
      <c r="K47" s="13" t="n">
        <v>18544050</v>
      </c>
      <c r="L47" s="13" t="n">
        <v>18822211</v>
      </c>
      <c r="M47" s="13" t="n">
        <v>19104544</v>
      </c>
      <c r="N47" s="13" t="n">
        <v>19391112</v>
      </c>
      <c r="O47" s="13" t="n">
        <v>19681979</v>
      </c>
    </row>
    <row r="48">
      <c r="E48" s="7" t="inlineStr">
        <is>
          <t>대당 보증비</t>
        </is>
      </c>
      <c r="G48" s="8" t="inlineStr">
        <is>
          <t>warranty_cost_per_unit</t>
        </is>
      </c>
      <c r="H48" s="9" t="inlineStr">
        <is>
          <t>원/대</t>
        </is>
      </c>
      <c r="I48" s="13" t="n">
        <v>420000</v>
      </c>
      <c r="J48" s="13" t="n">
        <v>427560</v>
      </c>
      <c r="K48" s="13" t="n">
        <v>435256</v>
      </c>
      <c r="L48" s="13" t="n">
        <v>443091</v>
      </c>
      <c r="M48" s="13" t="n">
        <v>451066</v>
      </c>
      <c r="N48" s="13" t="n">
        <v>459186</v>
      </c>
      <c r="O48" s="13" t="n">
        <v>467451</v>
      </c>
    </row>
    <row r="49">
      <c r="E49" s="11" t="inlineStr">
        <is>
          <t>차량매각원가율</t>
        </is>
      </c>
      <c r="G49" s="8" t="inlineStr">
        <is>
          <t>rental_disposal_cost_rate</t>
        </is>
      </c>
      <c r="H49" s="9" t="inlineStr">
        <is>
          <t>%</t>
        </is>
      </c>
      <c r="I49" s="12" t="n">
        <v>0.74</v>
      </c>
      <c r="J49" s="12" t="n">
        <v>0.735</v>
      </c>
      <c r="K49" s="12" t="n">
        <v>0.73</v>
      </c>
      <c r="L49" s="12" t="n">
        <v>0.728</v>
      </c>
      <c r="M49" s="12" t="n">
        <v>0.725</v>
      </c>
      <c r="N49" s="12" t="n">
        <v>0.723</v>
      </c>
      <c r="O49" s="12" t="n">
        <v>0.72</v>
      </c>
    </row>
    <row r="50">
      <c r="E50" s="11" t="inlineStr">
        <is>
          <t>변동 판관비율</t>
        </is>
      </c>
      <c r="G50" s="8" t="inlineStr">
        <is>
          <t>variable_sga_rate</t>
        </is>
      </c>
      <c r="H50" s="9" t="inlineStr">
        <is>
          <t>%</t>
        </is>
      </c>
      <c r="I50" s="12" t="n">
        <v>0.035</v>
      </c>
      <c r="J50" s="12" t="n">
        <v>0.034</v>
      </c>
      <c r="K50" s="12" t="n">
        <v>0.033</v>
      </c>
      <c r="L50" s="12" t="n">
        <v>0.0325</v>
      </c>
      <c r="M50" s="12" t="n">
        <v>0.032</v>
      </c>
      <c r="N50" s="12" t="n">
        <v>0.0315</v>
      </c>
      <c r="O50" s="12" t="n">
        <v>0.031</v>
      </c>
    </row>
    <row r="51">
      <c r="D51" s="7" t="inlineStr">
        <is>
          <t>고정 판관비</t>
        </is>
      </c>
      <c r="G51" s="8" t="inlineStr">
        <is>
          <t>fixed_sga</t>
        </is>
      </c>
      <c r="H51" s="9" t="inlineStr">
        <is>
          <t>원</t>
        </is>
      </c>
      <c r="I51" s="13" t="n">
        <v>52000000000</v>
      </c>
      <c r="J51" s="13" t="n">
        <v>53820000000</v>
      </c>
      <c r="K51" s="13" t="n">
        <v>55703700000</v>
      </c>
      <c r="L51" s="13" t="n">
        <v>57541922100</v>
      </c>
      <c r="M51" s="13" t="n">
        <v>59383263607</v>
      </c>
      <c r="N51" s="13" t="n">
        <v>61164761515</v>
      </c>
      <c r="O51" s="13" t="n">
        <v>62999704360</v>
      </c>
    </row>
    <row r="52">
      <c r="E52" s="7" t="inlineStr">
        <is>
          <t>필요 인원</t>
        </is>
      </c>
      <c r="G52" s="8" t="inlineStr">
        <is>
          <t>employee_count</t>
        </is>
      </c>
      <c r="H52" s="9" t="inlineStr">
        <is>
          <t>명</t>
        </is>
      </c>
      <c r="I52" s="10" t="n">
        <v>930</v>
      </c>
      <c r="J52" s="10" t="n">
        <v>960</v>
      </c>
      <c r="K52" s="10" t="n">
        <v>990</v>
      </c>
      <c r="L52" s="10" t="n">
        <v>1020</v>
      </c>
      <c r="M52" s="10" t="n">
        <v>1050</v>
      </c>
      <c r="N52" s="10" t="n">
        <v>1080</v>
      </c>
      <c r="O52" s="10" t="n">
        <v>1110</v>
      </c>
    </row>
    <row r="53">
      <c r="E53" s="7" t="inlineStr">
        <is>
          <t>평균 급여</t>
        </is>
      </c>
      <c r="G53" s="8" t="inlineStr">
        <is>
          <t>avg_salary</t>
        </is>
      </c>
      <c r="H53" s="9" t="inlineStr">
        <is>
          <t>원/명</t>
        </is>
      </c>
      <c r="I53" s="13" t="n">
        <v>62000000</v>
      </c>
      <c r="J53" s="13" t="n">
        <v>63860000</v>
      </c>
      <c r="K53" s="13" t="n">
        <v>65775800</v>
      </c>
      <c r="L53" s="13" t="n">
        <v>67749074</v>
      </c>
      <c r="M53" s="13" t="n">
        <v>69781546</v>
      </c>
      <c r="N53" s="13" t="n">
        <v>71874993</v>
      </c>
      <c r="O53" s="13" t="n">
        <v>74031242</v>
      </c>
    </row>
    <row r="54">
      <c r="D54" s="7" t="inlineStr">
        <is>
          <t>감가상각비</t>
        </is>
      </c>
      <c r="G54" s="8" t="inlineStr">
        <is>
          <t>da</t>
        </is>
      </c>
      <c r="H54" s="9" t="inlineStr">
        <is>
          <t>원</t>
        </is>
      </c>
      <c r="I54" s="13" t="n">
        <v>18500000000</v>
      </c>
      <c r="J54" s="13" t="n">
        <v>18962500000</v>
      </c>
      <c r="K54" s="13" t="n">
        <v>19436562500</v>
      </c>
      <c r="L54" s="13" t="n">
        <v>19903040000</v>
      </c>
      <c r="M54" s="13" t="n">
        <v>20360809920</v>
      </c>
      <c r="N54" s="13" t="n">
        <v>20808747738</v>
      </c>
      <c r="O54" s="13" t="n">
        <v>21266540188</v>
      </c>
    </row>
    <row r="55">
      <c r="E55" s="11" t="inlineStr">
        <is>
          <t>법인세율</t>
        </is>
      </c>
      <c r="G55" s="8" t="inlineStr">
        <is>
          <t>tax_rate</t>
        </is>
      </c>
      <c r="H55" s="9" t="inlineStr">
        <is>
          <t>%</t>
        </is>
      </c>
      <c r="I55" s="12" t="n">
        <v>0.24</v>
      </c>
      <c r="J55" s="12" t="n">
        <v>0.24</v>
      </c>
      <c r="K55" s="12" t="n">
        <v>0.24</v>
      </c>
      <c r="L55" s="12" t="n">
        <v>0.24</v>
      </c>
      <c r="M55" s="12" t="n">
        <v>0.24</v>
      </c>
      <c r="N55" s="12" t="n">
        <v>0.24</v>
      </c>
      <c r="O55" s="12" t="n">
        <v>0.24</v>
      </c>
    </row>
    <row r="56">
      <c r="E56" s="11" t="inlineStr">
        <is>
          <t>운전자본율</t>
        </is>
      </c>
      <c r="G56" s="8" t="inlineStr">
        <is>
          <t>nwc_rate</t>
        </is>
      </c>
      <c r="H56" s="9" t="inlineStr">
        <is>
          <t>%</t>
        </is>
      </c>
      <c r="I56" s="12" t="n">
        <v>0.055</v>
      </c>
      <c r="J56" s="12" t="n">
        <v>0.055</v>
      </c>
      <c r="K56" s="12" t="n">
        <v>0.054</v>
      </c>
      <c r="L56" s="12" t="n">
        <v>0.054</v>
      </c>
      <c r="M56" s="12" t="n">
        <v>0.053</v>
      </c>
      <c r="N56" s="12" t="n">
        <v>0.053</v>
      </c>
      <c r="O56" s="12" t="n">
        <v>0.052</v>
      </c>
    </row>
    <row r="57">
      <c r="D57" s="7" t="inlineStr">
        <is>
          <t>CapEx</t>
        </is>
      </c>
      <c r="G57" s="8" t="inlineStr">
        <is>
          <t>capex</t>
        </is>
      </c>
      <c r="H57" s="9" t="inlineStr">
        <is>
          <t>원</t>
        </is>
      </c>
      <c r="I57" s="13" t="n">
        <v>21000000000</v>
      </c>
      <c r="J57" s="13" t="n">
        <v>21840000000</v>
      </c>
      <c r="K57" s="13" t="n">
        <v>22713600000</v>
      </c>
      <c r="L57" s="13" t="n">
        <v>23576716800</v>
      </c>
      <c r="M57" s="13" t="n">
        <v>24401901888</v>
      </c>
      <c r="N57" s="13" t="n">
        <v>25207164650</v>
      </c>
      <c r="O57" s="13" t="n">
        <v>25963379590</v>
      </c>
    </row>
    <row r="58">
      <c r="D58" s="11" t="inlineStr">
        <is>
          <t>WACC</t>
        </is>
      </c>
      <c r="G58" s="8" t="inlineStr">
        <is>
          <t>wacc</t>
        </is>
      </c>
      <c r="H58" s="9" t="inlineStr">
        <is>
          <t>%</t>
        </is>
      </c>
      <c r="I58" s="12" t="n">
        <v>0.08500000000000001</v>
      </c>
      <c r="J58" s="12" t="n">
        <v>0.08500000000000001</v>
      </c>
      <c r="K58" s="12" t="n">
        <v>0.08400000000000001</v>
      </c>
      <c r="L58" s="12" t="n">
        <v>0.08400000000000001</v>
      </c>
      <c r="M58" s="12" t="n">
        <v>0.083</v>
      </c>
      <c r="N58" s="12" t="n">
        <v>0.083</v>
      </c>
      <c r="O58" s="12" t="n">
        <v>0.082</v>
      </c>
    </row>
    <row r="59">
      <c r="D59" s="11" t="inlineStr">
        <is>
          <t>Terminal Growth</t>
        </is>
      </c>
      <c r="G59" s="8" t="inlineStr">
        <is>
          <t>terminal_growth</t>
        </is>
      </c>
      <c r="H59" s="9" t="inlineStr">
        <is>
          <t>%</t>
        </is>
      </c>
      <c r="I59" s="12" t="n">
        <v>0.02</v>
      </c>
      <c r="J59" s="12" t="n">
        <v>0.02</v>
      </c>
      <c r="K59" s="12" t="n">
        <v>0.02</v>
      </c>
      <c r="L59" s="12" t="n">
        <v>0.02</v>
      </c>
      <c r="M59" s="12" t="n">
        <v>0.02</v>
      </c>
      <c r="N59" s="12" t="n">
        <v>0.02</v>
      </c>
      <c r="O59" s="12" t="n">
        <v>0.02</v>
      </c>
    </row>
    <row r="60">
      <c r="D60" s="7" t="inlineStr">
        <is>
          <t>Discount Factor</t>
        </is>
      </c>
      <c r="G60" s="8" t="inlineStr">
        <is>
          <t>discount_factor</t>
        </is>
      </c>
      <c r="H60" s="9" t="inlineStr">
        <is>
          <t>x</t>
        </is>
      </c>
      <c r="I60" s="14" t="n">
        <v>0.922</v>
      </c>
      <c r="J60" s="14" t="n">
        <v>0.85</v>
      </c>
      <c r="K60" s="14" t="n">
        <v>0.785</v>
      </c>
      <c r="L60" s="14" t="n">
        <v>0.724</v>
      </c>
      <c r="M60" s="14" t="n">
        <v>0.669</v>
      </c>
      <c r="N60" s="14" t="n">
        <v>0.619</v>
      </c>
      <c r="O60" s="14" t="n">
        <v>0.573</v>
      </c>
    </row>
    <row r="61">
      <c r="D61" s="7" t="inlineStr">
        <is>
          <t>순차입금 / 조정</t>
        </is>
      </c>
      <c r="G61" s="8" t="inlineStr">
        <is>
          <t>net_debt</t>
        </is>
      </c>
      <c r="H61" s="9" t="inlineStr">
        <is>
          <t>원</t>
        </is>
      </c>
      <c r="I61" s="13" t="n">
        <v>145000000000</v>
      </c>
      <c r="J61" s="13" t="n">
        <v>140650000000</v>
      </c>
      <c r="K61" s="13" t="n">
        <v>136430500000</v>
      </c>
      <c r="L61" s="13" t="n">
        <v>132337585000</v>
      </c>
      <c r="M61" s="13" t="n">
        <v>128367457450</v>
      </c>
      <c r="N61" s="13" t="n">
        <v>124516433726</v>
      </c>
      <c r="O61" s="13" t="n">
        <v>120780940714</v>
      </c>
    </row>
    <row r="62">
      <c r="D62" s="7" t="inlineStr">
        <is>
          <t>주식수</t>
        </is>
      </c>
      <c r="G62" s="8" t="inlineStr">
        <is>
          <t>shares_outstanding</t>
        </is>
      </c>
      <c r="H62" s="9" t="inlineStr">
        <is>
          <t>주</t>
        </is>
      </c>
      <c r="I62" s="10" t="n">
        <v>48200000</v>
      </c>
      <c r="J62" s="10" t="n">
        <v>48200000</v>
      </c>
      <c r="K62" s="10" t="n">
        <v>48200000</v>
      </c>
      <c r="L62" s="10" t="n">
        <v>48200000</v>
      </c>
      <c r="M62" s="10" t="n">
        <v>48200000</v>
      </c>
      <c r="N62" s="10" t="n">
        <v>48200000</v>
      </c>
      <c r="O62" s="10" t="n">
        <v>48200000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O120"/>
  <sheetViews>
    <sheetView showGridLines="0" zoomScale="100" workbookViewId="0">
      <pane xSplit="8" ySplit="4" topLeftCell="I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71" customWidth="1" min="1" max="1"/>
    <col width="4" customWidth="1" min="2" max="2"/>
    <col width="4" customWidth="1" min="3" max="3"/>
    <col width="4" customWidth="1" min="4" max="4"/>
    <col width="4" customWidth="1" min="5" max="5"/>
    <col width="28" customWidth="1" min="6" max="6"/>
    <col width="24" customWidth="1" min="7" max="7"/>
    <col width="10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16.5" customHeight="1">
      <c r="B1" s="1" t="inlineStr">
        <is>
          <t>Model</t>
        </is>
      </c>
    </row>
    <row r="2">
      <c r="I2" s="9" t="inlineStr">
        <is>
          <t>Unit: source units from HTML IR</t>
        </is>
      </c>
    </row>
    <row r="3">
      <c r="I3" s="5" t="inlineStr">
        <is>
          <t>Historical</t>
        </is>
      </c>
      <c r="J3" s="5" t="inlineStr">
        <is>
          <t>Forecast</t>
        </is>
      </c>
    </row>
    <row r="4">
      <c r="G4" s="5" t="inlineStr">
        <is>
          <t>ID</t>
        </is>
      </c>
      <c r="H4" s="5" t="inlineStr">
        <is>
          <t>Unit</t>
        </is>
      </c>
      <c r="I4" s="6" t="inlineStr">
        <is>
          <t>2023</t>
        </is>
      </c>
      <c r="J4" s="6" t="inlineStr">
        <is>
          <t>2024</t>
        </is>
      </c>
      <c r="K4" s="6" t="inlineStr">
        <is>
          <t>2025</t>
        </is>
      </c>
      <c r="L4" s="6" t="inlineStr">
        <is>
          <t>2026</t>
        </is>
      </c>
      <c r="M4" s="6" t="inlineStr">
        <is>
          <t>2027</t>
        </is>
      </c>
      <c r="N4" s="6" t="inlineStr">
        <is>
          <t>2028</t>
        </is>
      </c>
      <c r="O4" s="6" t="inlineStr">
        <is>
          <t>2029</t>
        </is>
      </c>
    </row>
    <row r="5">
      <c r="B5" s="15" t="inlineStr">
        <is>
          <t>KCar Enterprise Value</t>
        </is>
      </c>
      <c r="C5" s="16" t="n"/>
      <c r="D5" s="16" t="n"/>
      <c r="E5" s="16" t="n"/>
      <c r="F5" s="16" t="n"/>
      <c r="G5" s="17" t="inlineStr">
        <is>
          <t>root</t>
        </is>
      </c>
      <c r="H5" s="18" t="inlineStr">
        <is>
          <t>원</t>
        </is>
      </c>
      <c r="I5" s="19">
        <f>I116</f>
        <v/>
      </c>
      <c r="J5" s="19">
        <f>J116</f>
        <v/>
      </c>
      <c r="K5" s="19">
        <f>K116</f>
        <v/>
      </c>
      <c r="L5" s="19">
        <f>L116</f>
        <v/>
      </c>
      <c r="M5" s="19">
        <f>M116</f>
        <v/>
      </c>
      <c r="N5" s="19">
        <f>N116</f>
        <v/>
      </c>
      <c r="O5" s="19">
        <f>O116</f>
        <v/>
      </c>
    </row>
    <row r="6">
      <c r="B6" s="20" t="n"/>
      <c r="C6" s="21" t="inlineStr">
        <is>
          <t>매출 합계</t>
        </is>
      </c>
      <c r="D6" s="20" t="n"/>
      <c r="E6" s="20" t="n"/>
      <c r="F6" s="20" t="n"/>
      <c r="G6" s="22" t="inlineStr">
        <is>
          <t>rev</t>
        </is>
      </c>
      <c r="H6" s="23" t="inlineStr">
        <is>
          <t>원</t>
        </is>
      </c>
      <c r="I6" s="24">
        <f>SUM(I7,I74,I77,I80)</f>
        <v/>
      </c>
      <c r="J6" s="24">
        <f>SUM(J7,J74,J77,J80)</f>
        <v/>
      </c>
      <c r="K6" s="24">
        <f>SUM(K7,K74,K77,K80)</f>
        <v/>
      </c>
      <c r="L6" s="24">
        <f>SUM(L7,L74,L77,L80)</f>
        <v/>
      </c>
      <c r="M6" s="24">
        <f>SUM(M7,M74,M77,M80)</f>
        <v/>
      </c>
      <c r="N6" s="24">
        <f>SUM(N7,N74,N77,N80)</f>
        <v/>
      </c>
      <c r="O6" s="24">
        <f>SUM(O7,O74,O77,O80)</f>
        <v/>
      </c>
    </row>
    <row r="7">
      <c r="D7" s="7" t="inlineStr">
        <is>
          <t>중고차 판매</t>
        </is>
      </c>
      <c r="G7" s="8" t="inlineStr">
        <is>
          <t>used_car_sales</t>
        </is>
      </c>
      <c r="H7" s="9" t="inlineStr">
        <is>
          <t>원</t>
        </is>
      </c>
      <c r="I7" s="25">
        <f>(I8+I44)</f>
        <v/>
      </c>
      <c r="J7" s="25">
        <f>(J8+J44)</f>
        <v/>
      </c>
      <c r="K7" s="25">
        <f>(K8+K44)</f>
        <v/>
      </c>
      <c r="L7" s="25">
        <f>(L8+L44)</f>
        <v/>
      </c>
      <c r="M7" s="25">
        <f>(M8+M44)</f>
        <v/>
      </c>
      <c r="N7" s="25">
        <f>(N8+N44)</f>
        <v/>
      </c>
      <c r="O7" s="25">
        <f>(O8+O44)</f>
        <v/>
      </c>
    </row>
    <row r="8">
      <c r="E8" s="7" t="inlineStr">
        <is>
          <t>이커머스 중고차 판매</t>
        </is>
      </c>
      <c r="G8" s="8" t="inlineStr">
        <is>
          <t>ecommerce_sales</t>
        </is>
      </c>
      <c r="H8" s="9" t="inlineStr">
        <is>
          <t>원</t>
        </is>
      </c>
      <c r="I8" s="25">
        <f>SUM(I9,I14,I19,I24,I29,I34,I39)</f>
        <v/>
      </c>
      <c r="J8" s="25">
        <f>SUM(J9,J14,J19,J24,J29,J34,J39)</f>
        <v/>
      </c>
      <c r="K8" s="25">
        <f>SUM(K9,K14,K19,K24,K29,K34,K39)</f>
        <v/>
      </c>
      <c r="L8" s="25">
        <f>SUM(L9,L14,L19,L24,L29,L34,L39)</f>
        <v/>
      </c>
      <c r="M8" s="25">
        <f>SUM(M9,M14,M19,M24,M29,M34,M39)</f>
        <v/>
      </c>
      <c r="N8" s="25">
        <f>SUM(N9,N14,N19,N24,N29,N34,N39)</f>
        <v/>
      </c>
      <c r="O8" s="25">
        <f>SUM(O9,O14,O19,O24,O29,O34,O39)</f>
        <v/>
      </c>
    </row>
    <row r="9">
      <c r="F9" s="7" t="inlineStr">
        <is>
          <t>이커머스 SUV</t>
        </is>
      </c>
      <c r="G9" s="8" t="inlineStr">
        <is>
          <t>ec_suv_rev</t>
        </is>
      </c>
      <c r="H9" s="9" t="inlineStr">
        <is>
          <t>원</t>
        </is>
      </c>
      <c r="I9" s="25">
        <f>(I12*I13)</f>
        <v/>
      </c>
      <c r="J9" s="25">
        <f>(J12*J13)</f>
        <v/>
      </c>
      <c r="K9" s="25">
        <f>(K12*K13)</f>
        <v/>
      </c>
      <c r="L9" s="25">
        <f>(L12*L13)</f>
        <v/>
      </c>
      <c r="M9" s="25">
        <f>(M12*M13)</f>
        <v/>
      </c>
      <c r="N9" s="25">
        <f>(N12*N13)</f>
        <v/>
      </c>
      <c r="O9" s="25">
        <f>(O12*O13)</f>
        <v/>
      </c>
    </row>
    <row r="10">
      <c r="F10" s="7" t="inlineStr">
        <is>
          <t>SUV 시장판매대수</t>
        </is>
      </c>
      <c r="G10" s="8" t="inlineStr">
        <is>
          <t>market_suv</t>
        </is>
      </c>
      <c r="H10" s="9" t="inlineStr">
        <is>
          <t>대</t>
        </is>
      </c>
      <c r="I10" s="26">
        <f>'Assumptions'!I5</f>
        <v/>
      </c>
      <c r="J10" s="26">
        <f>'Assumptions'!J5</f>
        <v/>
      </c>
      <c r="K10" s="26">
        <f>'Assumptions'!K5</f>
        <v/>
      </c>
      <c r="L10" s="26">
        <f>'Assumptions'!L5</f>
        <v/>
      </c>
      <c r="M10" s="26">
        <f>'Assumptions'!M5</f>
        <v/>
      </c>
      <c r="N10" s="26">
        <f>'Assumptions'!N5</f>
        <v/>
      </c>
      <c r="O10" s="26">
        <f>'Assumptions'!O5</f>
        <v/>
      </c>
    </row>
    <row r="11">
      <c r="F11" s="11" t="inlineStr">
        <is>
          <t>이커머스 SUV 점유율</t>
        </is>
      </c>
      <c r="G11" s="8" t="inlineStr">
        <is>
          <t>ec_suv_share</t>
        </is>
      </c>
      <c r="H11" s="9" t="inlineStr">
        <is>
          <t>%</t>
        </is>
      </c>
      <c r="I11" s="27">
        <f>'Assumptions'!I6</f>
        <v/>
      </c>
      <c r="J11" s="27">
        <f>'Assumptions'!J6</f>
        <v/>
      </c>
      <c r="K11" s="27">
        <f>'Assumptions'!K6</f>
        <v/>
      </c>
      <c r="L11" s="27">
        <f>'Assumptions'!L6</f>
        <v/>
      </c>
      <c r="M11" s="27">
        <f>'Assumptions'!M6</f>
        <v/>
      </c>
      <c r="N11" s="27">
        <f>'Assumptions'!N6</f>
        <v/>
      </c>
      <c r="O11" s="27">
        <f>'Assumptions'!O6</f>
        <v/>
      </c>
    </row>
    <row r="12">
      <c r="F12" s="7" t="inlineStr">
        <is>
          <t>이커머스 SUV 판매대수</t>
        </is>
      </c>
      <c r="G12" s="8" t="inlineStr">
        <is>
          <t>ec_suv_volume</t>
        </is>
      </c>
      <c r="H12" s="9" t="inlineStr">
        <is>
          <t>대</t>
        </is>
      </c>
      <c r="I12" s="28">
        <f>(I10*I11)</f>
        <v/>
      </c>
      <c r="J12" s="28">
        <f>(J10*J11)</f>
        <v/>
      </c>
      <c r="K12" s="28">
        <f>(K10*K11)</f>
        <v/>
      </c>
      <c r="L12" s="28">
        <f>(L10*L11)</f>
        <v/>
      </c>
      <c r="M12" s="28">
        <f>(M10*M11)</f>
        <v/>
      </c>
      <c r="N12" s="28">
        <f>(N10*N11)</f>
        <v/>
      </c>
      <c r="O12" s="28">
        <f>(O10*O11)</f>
        <v/>
      </c>
    </row>
    <row r="13">
      <c r="F13" s="7" t="inlineStr">
        <is>
          <t>이커머스 SUV ASP</t>
        </is>
      </c>
      <c r="G13" s="8" t="inlineStr">
        <is>
          <t>ec_suv_asp</t>
        </is>
      </c>
      <c r="H13" s="9" t="inlineStr">
        <is>
          <t>원/대</t>
        </is>
      </c>
      <c r="I13" s="29">
        <f>'Assumptions'!I7</f>
        <v/>
      </c>
      <c r="J13" s="29">
        <f>'Assumptions'!J7</f>
        <v/>
      </c>
      <c r="K13" s="29">
        <f>'Assumptions'!K7</f>
        <v/>
      </c>
      <c r="L13" s="29">
        <f>'Assumptions'!L7</f>
        <v/>
      </c>
      <c r="M13" s="29">
        <f>'Assumptions'!M7</f>
        <v/>
      </c>
      <c r="N13" s="29">
        <f>'Assumptions'!N7</f>
        <v/>
      </c>
      <c r="O13" s="29">
        <f>'Assumptions'!O7</f>
        <v/>
      </c>
    </row>
    <row r="14">
      <c r="F14" s="7" t="inlineStr">
        <is>
          <t>이커머스 대형</t>
        </is>
      </c>
      <c r="G14" s="8" t="inlineStr">
        <is>
          <t>ec_large_rev</t>
        </is>
      </c>
      <c r="H14" s="9" t="inlineStr">
        <is>
          <t>원</t>
        </is>
      </c>
      <c r="I14" s="25">
        <f>(I17*I18)</f>
        <v/>
      </c>
      <c r="J14" s="25">
        <f>(J17*J18)</f>
        <v/>
      </c>
      <c r="K14" s="25">
        <f>(K17*K18)</f>
        <v/>
      </c>
      <c r="L14" s="25">
        <f>(L17*L18)</f>
        <v/>
      </c>
      <c r="M14" s="25">
        <f>(M17*M18)</f>
        <v/>
      </c>
      <c r="N14" s="25">
        <f>(N17*N18)</f>
        <v/>
      </c>
      <c r="O14" s="25">
        <f>(O17*O18)</f>
        <v/>
      </c>
    </row>
    <row r="15">
      <c r="F15" s="7" t="inlineStr">
        <is>
          <t>대형 시장판매대수</t>
        </is>
      </c>
      <c r="G15" s="8" t="inlineStr">
        <is>
          <t>market_large</t>
        </is>
      </c>
      <c r="H15" s="9" t="inlineStr">
        <is>
          <t>대</t>
        </is>
      </c>
      <c r="I15" s="26">
        <f>'Assumptions'!I8</f>
        <v/>
      </c>
      <c r="J15" s="26">
        <f>'Assumptions'!J8</f>
        <v/>
      </c>
      <c r="K15" s="26">
        <f>'Assumptions'!K8</f>
        <v/>
      </c>
      <c r="L15" s="26">
        <f>'Assumptions'!L8</f>
        <v/>
      </c>
      <c r="M15" s="26">
        <f>'Assumptions'!M8</f>
        <v/>
      </c>
      <c r="N15" s="26">
        <f>'Assumptions'!N8</f>
        <v/>
      </c>
      <c r="O15" s="26">
        <f>'Assumptions'!O8</f>
        <v/>
      </c>
    </row>
    <row r="16">
      <c r="F16" s="11" t="inlineStr">
        <is>
          <t>이커머스 대형 점유율</t>
        </is>
      </c>
      <c r="G16" s="8" t="inlineStr">
        <is>
          <t>ec_large_share</t>
        </is>
      </c>
      <c r="H16" s="9" t="inlineStr">
        <is>
          <t>%</t>
        </is>
      </c>
      <c r="I16" s="27">
        <f>'Assumptions'!I9</f>
        <v/>
      </c>
      <c r="J16" s="27">
        <f>'Assumptions'!J9</f>
        <v/>
      </c>
      <c r="K16" s="27">
        <f>'Assumptions'!K9</f>
        <v/>
      </c>
      <c r="L16" s="27">
        <f>'Assumptions'!L9</f>
        <v/>
      </c>
      <c r="M16" s="27">
        <f>'Assumptions'!M9</f>
        <v/>
      </c>
      <c r="N16" s="27">
        <f>'Assumptions'!N9</f>
        <v/>
      </c>
      <c r="O16" s="27">
        <f>'Assumptions'!O9</f>
        <v/>
      </c>
    </row>
    <row r="17">
      <c r="F17" s="7" t="inlineStr">
        <is>
          <t>이커머스 대형 판매대수</t>
        </is>
      </c>
      <c r="G17" s="8" t="inlineStr">
        <is>
          <t>ec_large_volume</t>
        </is>
      </c>
      <c r="H17" s="9" t="inlineStr">
        <is>
          <t>대</t>
        </is>
      </c>
      <c r="I17" s="28">
        <f>(I15*I16)</f>
        <v/>
      </c>
      <c r="J17" s="28">
        <f>(J15*J16)</f>
        <v/>
      </c>
      <c r="K17" s="28">
        <f>(K15*K16)</f>
        <v/>
      </c>
      <c r="L17" s="28">
        <f>(L15*L16)</f>
        <v/>
      </c>
      <c r="M17" s="28">
        <f>(M15*M16)</f>
        <v/>
      </c>
      <c r="N17" s="28">
        <f>(N15*N16)</f>
        <v/>
      </c>
      <c r="O17" s="28">
        <f>(O15*O16)</f>
        <v/>
      </c>
    </row>
    <row r="18">
      <c r="F18" s="7" t="inlineStr">
        <is>
          <t>이커머스 대형 ASP</t>
        </is>
      </c>
      <c r="G18" s="8" t="inlineStr">
        <is>
          <t>ec_large_asp</t>
        </is>
      </c>
      <c r="H18" s="9" t="inlineStr">
        <is>
          <t>원/대</t>
        </is>
      </c>
      <c r="I18" s="29">
        <f>'Assumptions'!I10</f>
        <v/>
      </c>
      <c r="J18" s="29">
        <f>'Assumptions'!J10</f>
        <v/>
      </c>
      <c r="K18" s="29">
        <f>'Assumptions'!K10</f>
        <v/>
      </c>
      <c r="L18" s="29">
        <f>'Assumptions'!L10</f>
        <v/>
      </c>
      <c r="M18" s="29">
        <f>'Assumptions'!M10</f>
        <v/>
      </c>
      <c r="N18" s="29">
        <f>'Assumptions'!N10</f>
        <v/>
      </c>
      <c r="O18" s="29">
        <f>'Assumptions'!O10</f>
        <v/>
      </c>
    </row>
    <row r="19">
      <c r="F19" s="7" t="inlineStr">
        <is>
          <t>이커머스 중형</t>
        </is>
      </c>
      <c r="G19" s="8" t="inlineStr">
        <is>
          <t>ec_midsize_rev</t>
        </is>
      </c>
      <c r="H19" s="9" t="inlineStr">
        <is>
          <t>원</t>
        </is>
      </c>
      <c r="I19" s="25">
        <f>(I22*I23)</f>
        <v/>
      </c>
      <c r="J19" s="25">
        <f>(J22*J23)</f>
        <v/>
      </c>
      <c r="K19" s="25">
        <f>(K22*K23)</f>
        <v/>
      </c>
      <c r="L19" s="25">
        <f>(L22*L23)</f>
        <v/>
      </c>
      <c r="M19" s="25">
        <f>(M22*M23)</f>
        <v/>
      </c>
      <c r="N19" s="25">
        <f>(N22*N23)</f>
        <v/>
      </c>
      <c r="O19" s="25">
        <f>(O22*O23)</f>
        <v/>
      </c>
    </row>
    <row r="20">
      <c r="F20" s="7" t="inlineStr">
        <is>
          <t>중형 시장판매대수</t>
        </is>
      </c>
      <c r="G20" s="8" t="inlineStr">
        <is>
          <t>market_midsize</t>
        </is>
      </c>
      <c r="H20" s="9" t="inlineStr">
        <is>
          <t>대</t>
        </is>
      </c>
      <c r="I20" s="26">
        <f>'Assumptions'!I11</f>
        <v/>
      </c>
      <c r="J20" s="26">
        <f>'Assumptions'!J11</f>
        <v/>
      </c>
      <c r="K20" s="26">
        <f>'Assumptions'!K11</f>
        <v/>
      </c>
      <c r="L20" s="26">
        <f>'Assumptions'!L11</f>
        <v/>
      </c>
      <c r="M20" s="26">
        <f>'Assumptions'!M11</f>
        <v/>
      </c>
      <c r="N20" s="26">
        <f>'Assumptions'!N11</f>
        <v/>
      </c>
      <c r="O20" s="26">
        <f>'Assumptions'!O11</f>
        <v/>
      </c>
    </row>
    <row r="21">
      <c r="F21" s="11" t="inlineStr">
        <is>
          <t>이커머스 중형 점유율</t>
        </is>
      </c>
      <c r="G21" s="8" t="inlineStr">
        <is>
          <t>ec_midsize_share</t>
        </is>
      </c>
      <c r="H21" s="9" t="inlineStr">
        <is>
          <t>%</t>
        </is>
      </c>
      <c r="I21" s="27">
        <f>'Assumptions'!I12</f>
        <v/>
      </c>
      <c r="J21" s="27">
        <f>'Assumptions'!J12</f>
        <v/>
      </c>
      <c r="K21" s="27">
        <f>'Assumptions'!K12</f>
        <v/>
      </c>
      <c r="L21" s="27">
        <f>'Assumptions'!L12</f>
        <v/>
      </c>
      <c r="M21" s="27">
        <f>'Assumptions'!M12</f>
        <v/>
      </c>
      <c r="N21" s="27">
        <f>'Assumptions'!N12</f>
        <v/>
      </c>
      <c r="O21" s="27">
        <f>'Assumptions'!O12</f>
        <v/>
      </c>
    </row>
    <row r="22">
      <c r="F22" s="7" t="inlineStr">
        <is>
          <t>이커머스 중형 판매대수</t>
        </is>
      </c>
      <c r="G22" s="8" t="inlineStr">
        <is>
          <t>ec_midsize_volume</t>
        </is>
      </c>
      <c r="H22" s="9" t="inlineStr">
        <is>
          <t>대</t>
        </is>
      </c>
      <c r="I22" s="28">
        <f>(I20*I21)</f>
        <v/>
      </c>
      <c r="J22" s="28">
        <f>(J20*J21)</f>
        <v/>
      </c>
      <c r="K22" s="28">
        <f>(K20*K21)</f>
        <v/>
      </c>
      <c r="L22" s="28">
        <f>(L20*L21)</f>
        <v/>
      </c>
      <c r="M22" s="28">
        <f>(M20*M21)</f>
        <v/>
      </c>
      <c r="N22" s="28">
        <f>(N20*N21)</f>
        <v/>
      </c>
      <c r="O22" s="28">
        <f>(O20*O21)</f>
        <v/>
      </c>
    </row>
    <row r="23">
      <c r="F23" s="7" t="inlineStr">
        <is>
          <t>이커머스 중형 ASP</t>
        </is>
      </c>
      <c r="G23" s="8" t="inlineStr">
        <is>
          <t>ec_midsize_asp</t>
        </is>
      </c>
      <c r="H23" s="9" t="inlineStr">
        <is>
          <t>원/대</t>
        </is>
      </c>
      <c r="I23" s="29">
        <f>'Assumptions'!I13</f>
        <v/>
      </c>
      <c r="J23" s="29">
        <f>'Assumptions'!J13</f>
        <v/>
      </c>
      <c r="K23" s="29">
        <f>'Assumptions'!K13</f>
        <v/>
      </c>
      <c r="L23" s="29">
        <f>'Assumptions'!L13</f>
        <v/>
      </c>
      <c r="M23" s="29">
        <f>'Assumptions'!M13</f>
        <v/>
      </c>
      <c r="N23" s="29">
        <f>'Assumptions'!N13</f>
        <v/>
      </c>
      <c r="O23" s="29">
        <f>'Assumptions'!O13</f>
        <v/>
      </c>
    </row>
    <row r="24">
      <c r="F24" s="7" t="inlineStr">
        <is>
          <t>이커머스 준중형</t>
        </is>
      </c>
      <c r="G24" s="8" t="inlineStr">
        <is>
          <t>ec_compact_rev</t>
        </is>
      </c>
      <c r="H24" s="9" t="inlineStr">
        <is>
          <t>원</t>
        </is>
      </c>
      <c r="I24" s="25">
        <f>(I27*I28)</f>
        <v/>
      </c>
      <c r="J24" s="25">
        <f>(J27*J28)</f>
        <v/>
      </c>
      <c r="K24" s="25">
        <f>(K27*K28)</f>
        <v/>
      </c>
      <c r="L24" s="25">
        <f>(L27*L28)</f>
        <v/>
      </c>
      <c r="M24" s="25">
        <f>(M27*M28)</f>
        <v/>
      </c>
      <c r="N24" s="25">
        <f>(N27*N28)</f>
        <v/>
      </c>
      <c r="O24" s="25">
        <f>(O27*O28)</f>
        <v/>
      </c>
    </row>
    <row r="25">
      <c r="F25" s="7" t="inlineStr">
        <is>
          <t>준중형 시장판매대수</t>
        </is>
      </c>
      <c r="G25" s="8" t="inlineStr">
        <is>
          <t>market_compact</t>
        </is>
      </c>
      <c r="H25" s="9" t="inlineStr">
        <is>
          <t>대</t>
        </is>
      </c>
      <c r="I25" s="26">
        <f>'Assumptions'!I14</f>
        <v/>
      </c>
      <c r="J25" s="26">
        <f>'Assumptions'!J14</f>
        <v/>
      </c>
      <c r="K25" s="26">
        <f>'Assumptions'!K14</f>
        <v/>
      </c>
      <c r="L25" s="26">
        <f>'Assumptions'!L14</f>
        <v/>
      </c>
      <c r="M25" s="26">
        <f>'Assumptions'!M14</f>
        <v/>
      </c>
      <c r="N25" s="26">
        <f>'Assumptions'!N14</f>
        <v/>
      </c>
      <c r="O25" s="26">
        <f>'Assumptions'!O14</f>
        <v/>
      </c>
    </row>
    <row r="26">
      <c r="F26" s="11" t="inlineStr">
        <is>
          <t>이커머스 준중형 점유율</t>
        </is>
      </c>
      <c r="G26" s="8" t="inlineStr">
        <is>
          <t>ec_compact_share</t>
        </is>
      </c>
      <c r="H26" s="9" t="inlineStr">
        <is>
          <t>%</t>
        </is>
      </c>
      <c r="I26" s="27">
        <f>'Assumptions'!I15</f>
        <v/>
      </c>
      <c r="J26" s="27">
        <f>'Assumptions'!J15</f>
        <v/>
      </c>
      <c r="K26" s="27">
        <f>'Assumptions'!K15</f>
        <v/>
      </c>
      <c r="L26" s="27">
        <f>'Assumptions'!L15</f>
        <v/>
      </c>
      <c r="M26" s="27">
        <f>'Assumptions'!M15</f>
        <v/>
      </c>
      <c r="N26" s="27">
        <f>'Assumptions'!N15</f>
        <v/>
      </c>
      <c r="O26" s="27">
        <f>'Assumptions'!O15</f>
        <v/>
      </c>
    </row>
    <row r="27">
      <c r="F27" s="7" t="inlineStr">
        <is>
          <t>이커머스 준중형 판매대수</t>
        </is>
      </c>
      <c r="G27" s="8" t="inlineStr">
        <is>
          <t>ec_compact_volume</t>
        </is>
      </c>
      <c r="H27" s="9" t="inlineStr">
        <is>
          <t>대</t>
        </is>
      </c>
      <c r="I27" s="28">
        <f>(I25*I26)</f>
        <v/>
      </c>
      <c r="J27" s="28">
        <f>(J25*J26)</f>
        <v/>
      </c>
      <c r="K27" s="28">
        <f>(K25*K26)</f>
        <v/>
      </c>
      <c r="L27" s="28">
        <f>(L25*L26)</f>
        <v/>
      </c>
      <c r="M27" s="28">
        <f>(M25*M26)</f>
        <v/>
      </c>
      <c r="N27" s="28">
        <f>(N25*N26)</f>
        <v/>
      </c>
      <c r="O27" s="28">
        <f>(O25*O26)</f>
        <v/>
      </c>
    </row>
    <row r="28">
      <c r="F28" s="7" t="inlineStr">
        <is>
          <t>이커머스 준중형 ASP</t>
        </is>
      </c>
      <c r="G28" s="8" t="inlineStr">
        <is>
          <t>ec_compact_asp</t>
        </is>
      </c>
      <c r="H28" s="9" t="inlineStr">
        <is>
          <t>원/대</t>
        </is>
      </c>
      <c r="I28" s="29">
        <f>'Assumptions'!I16</f>
        <v/>
      </c>
      <c r="J28" s="29">
        <f>'Assumptions'!J16</f>
        <v/>
      </c>
      <c r="K28" s="29">
        <f>'Assumptions'!K16</f>
        <v/>
      </c>
      <c r="L28" s="29">
        <f>'Assumptions'!L16</f>
        <v/>
      </c>
      <c r="M28" s="29">
        <f>'Assumptions'!M16</f>
        <v/>
      </c>
      <c r="N28" s="29">
        <f>'Assumptions'!N16</f>
        <v/>
      </c>
      <c r="O28" s="29">
        <f>'Assumptions'!O16</f>
        <v/>
      </c>
    </row>
    <row r="29">
      <c r="F29" s="7" t="inlineStr">
        <is>
          <t>이커머스 소형</t>
        </is>
      </c>
      <c r="G29" s="8" t="inlineStr">
        <is>
          <t>ec_small_rev</t>
        </is>
      </c>
      <c r="H29" s="9" t="inlineStr">
        <is>
          <t>원</t>
        </is>
      </c>
      <c r="I29" s="25">
        <f>(I32*I33)</f>
        <v/>
      </c>
      <c r="J29" s="25">
        <f>(J32*J33)</f>
        <v/>
      </c>
      <c r="K29" s="25">
        <f>(K32*K33)</f>
        <v/>
      </c>
      <c r="L29" s="25">
        <f>(L32*L33)</f>
        <v/>
      </c>
      <c r="M29" s="25">
        <f>(M32*M33)</f>
        <v/>
      </c>
      <c r="N29" s="25">
        <f>(N32*N33)</f>
        <v/>
      </c>
      <c r="O29" s="25">
        <f>(O32*O33)</f>
        <v/>
      </c>
    </row>
    <row r="30">
      <c r="F30" s="7" t="inlineStr">
        <is>
          <t>소형 시장판매대수</t>
        </is>
      </c>
      <c r="G30" s="8" t="inlineStr">
        <is>
          <t>market_small</t>
        </is>
      </c>
      <c r="H30" s="9" t="inlineStr">
        <is>
          <t>대</t>
        </is>
      </c>
      <c r="I30" s="26">
        <f>'Assumptions'!I17</f>
        <v/>
      </c>
      <c r="J30" s="26">
        <f>'Assumptions'!J17</f>
        <v/>
      </c>
      <c r="K30" s="26">
        <f>'Assumptions'!K17</f>
        <v/>
      </c>
      <c r="L30" s="26">
        <f>'Assumptions'!L17</f>
        <v/>
      </c>
      <c r="M30" s="26">
        <f>'Assumptions'!M17</f>
        <v/>
      </c>
      <c r="N30" s="26">
        <f>'Assumptions'!N17</f>
        <v/>
      </c>
      <c r="O30" s="26">
        <f>'Assumptions'!O17</f>
        <v/>
      </c>
    </row>
    <row r="31">
      <c r="F31" s="11" t="inlineStr">
        <is>
          <t>이커머스 소형 점유율</t>
        </is>
      </c>
      <c r="G31" s="8" t="inlineStr">
        <is>
          <t>ec_small_share</t>
        </is>
      </c>
      <c r="H31" s="9" t="inlineStr">
        <is>
          <t>%</t>
        </is>
      </c>
      <c r="I31" s="27">
        <f>'Assumptions'!I18</f>
        <v/>
      </c>
      <c r="J31" s="27">
        <f>'Assumptions'!J18</f>
        <v/>
      </c>
      <c r="K31" s="27">
        <f>'Assumptions'!K18</f>
        <v/>
      </c>
      <c r="L31" s="27">
        <f>'Assumptions'!L18</f>
        <v/>
      </c>
      <c r="M31" s="27">
        <f>'Assumptions'!M18</f>
        <v/>
      </c>
      <c r="N31" s="27">
        <f>'Assumptions'!N18</f>
        <v/>
      </c>
      <c r="O31" s="27">
        <f>'Assumptions'!O18</f>
        <v/>
      </c>
    </row>
    <row r="32">
      <c r="F32" s="7" t="inlineStr">
        <is>
          <t>이커머스 소형 판매대수</t>
        </is>
      </c>
      <c r="G32" s="8" t="inlineStr">
        <is>
          <t>ec_small_volume</t>
        </is>
      </c>
      <c r="H32" s="9" t="inlineStr">
        <is>
          <t>대</t>
        </is>
      </c>
      <c r="I32" s="28">
        <f>(I30*I31)</f>
        <v/>
      </c>
      <c r="J32" s="28">
        <f>(J30*J31)</f>
        <v/>
      </c>
      <c r="K32" s="28">
        <f>(K30*K31)</f>
        <v/>
      </c>
      <c r="L32" s="28">
        <f>(L30*L31)</f>
        <v/>
      </c>
      <c r="M32" s="28">
        <f>(M30*M31)</f>
        <v/>
      </c>
      <c r="N32" s="28">
        <f>(N30*N31)</f>
        <v/>
      </c>
      <c r="O32" s="28">
        <f>(O30*O31)</f>
        <v/>
      </c>
    </row>
    <row r="33">
      <c r="F33" s="7" t="inlineStr">
        <is>
          <t>이커머스 소형 ASP</t>
        </is>
      </c>
      <c r="G33" s="8" t="inlineStr">
        <is>
          <t>ec_small_asp</t>
        </is>
      </c>
      <c r="H33" s="9" t="inlineStr">
        <is>
          <t>원/대</t>
        </is>
      </c>
      <c r="I33" s="29">
        <f>'Assumptions'!I19</f>
        <v/>
      </c>
      <c r="J33" s="29">
        <f>'Assumptions'!J19</f>
        <v/>
      </c>
      <c r="K33" s="29">
        <f>'Assumptions'!K19</f>
        <v/>
      </c>
      <c r="L33" s="29">
        <f>'Assumptions'!L19</f>
        <v/>
      </c>
      <c r="M33" s="29">
        <f>'Assumptions'!M19</f>
        <v/>
      </c>
      <c r="N33" s="29">
        <f>'Assumptions'!N19</f>
        <v/>
      </c>
      <c r="O33" s="29">
        <f>'Assumptions'!O19</f>
        <v/>
      </c>
    </row>
    <row r="34">
      <c r="F34" s="7" t="inlineStr">
        <is>
          <t>이커머스 화물차</t>
        </is>
      </c>
      <c r="G34" s="8" t="inlineStr">
        <is>
          <t>ec_truck_rev</t>
        </is>
      </c>
      <c r="H34" s="9" t="inlineStr">
        <is>
          <t>원</t>
        </is>
      </c>
      <c r="I34" s="25">
        <f>(I37*I38)</f>
        <v/>
      </c>
      <c r="J34" s="25">
        <f>(J37*J38)</f>
        <v/>
      </c>
      <c r="K34" s="25">
        <f>(K37*K38)</f>
        <v/>
      </c>
      <c r="L34" s="25">
        <f>(L37*L38)</f>
        <v/>
      </c>
      <c r="M34" s="25">
        <f>(M37*M38)</f>
        <v/>
      </c>
      <c r="N34" s="25">
        <f>(N37*N38)</f>
        <v/>
      </c>
      <c r="O34" s="25">
        <f>(O37*O38)</f>
        <v/>
      </c>
    </row>
    <row r="35">
      <c r="F35" s="7" t="inlineStr">
        <is>
          <t>화물차 시장판매대수</t>
        </is>
      </c>
      <c r="G35" s="8" t="inlineStr">
        <is>
          <t>market_truck</t>
        </is>
      </c>
      <c r="H35" s="9" t="inlineStr">
        <is>
          <t>대</t>
        </is>
      </c>
      <c r="I35" s="26">
        <f>'Assumptions'!I20</f>
        <v/>
      </c>
      <c r="J35" s="26">
        <f>'Assumptions'!J20</f>
        <v/>
      </c>
      <c r="K35" s="26">
        <f>'Assumptions'!K20</f>
        <v/>
      </c>
      <c r="L35" s="26">
        <f>'Assumptions'!L20</f>
        <v/>
      </c>
      <c r="M35" s="26">
        <f>'Assumptions'!M20</f>
        <v/>
      </c>
      <c r="N35" s="26">
        <f>'Assumptions'!N20</f>
        <v/>
      </c>
      <c r="O35" s="26">
        <f>'Assumptions'!O20</f>
        <v/>
      </c>
    </row>
    <row r="36">
      <c r="F36" s="11" t="inlineStr">
        <is>
          <t>이커머스 화물차 점유율</t>
        </is>
      </c>
      <c r="G36" s="8" t="inlineStr">
        <is>
          <t>ec_truck_share</t>
        </is>
      </c>
      <c r="H36" s="9" t="inlineStr">
        <is>
          <t>%</t>
        </is>
      </c>
      <c r="I36" s="27">
        <f>'Assumptions'!I21</f>
        <v/>
      </c>
      <c r="J36" s="27">
        <f>'Assumptions'!J21</f>
        <v/>
      </c>
      <c r="K36" s="27">
        <f>'Assumptions'!K21</f>
        <v/>
      </c>
      <c r="L36" s="27">
        <f>'Assumptions'!L21</f>
        <v/>
      </c>
      <c r="M36" s="27">
        <f>'Assumptions'!M21</f>
        <v/>
      </c>
      <c r="N36" s="27">
        <f>'Assumptions'!N21</f>
        <v/>
      </c>
      <c r="O36" s="27">
        <f>'Assumptions'!O21</f>
        <v/>
      </c>
    </row>
    <row r="37">
      <c r="F37" s="7" t="inlineStr">
        <is>
          <t>이커머스 화물차 판매대수</t>
        </is>
      </c>
      <c r="G37" s="8" t="inlineStr">
        <is>
          <t>ec_truck_volume</t>
        </is>
      </c>
      <c r="H37" s="9" t="inlineStr">
        <is>
          <t>대</t>
        </is>
      </c>
      <c r="I37" s="28">
        <f>(I35*I36)</f>
        <v/>
      </c>
      <c r="J37" s="28">
        <f>(J35*J36)</f>
        <v/>
      </c>
      <c r="K37" s="28">
        <f>(K35*K36)</f>
        <v/>
      </c>
      <c r="L37" s="28">
        <f>(L35*L36)</f>
        <v/>
      </c>
      <c r="M37" s="28">
        <f>(M35*M36)</f>
        <v/>
      </c>
      <c r="N37" s="28">
        <f>(N35*N36)</f>
        <v/>
      </c>
      <c r="O37" s="28">
        <f>(O35*O36)</f>
        <v/>
      </c>
    </row>
    <row r="38">
      <c r="F38" s="7" t="inlineStr">
        <is>
          <t>이커머스 화물차 ASP</t>
        </is>
      </c>
      <c r="G38" s="8" t="inlineStr">
        <is>
          <t>ec_truck_asp</t>
        </is>
      </c>
      <c r="H38" s="9" t="inlineStr">
        <is>
          <t>원/대</t>
        </is>
      </c>
      <c r="I38" s="29">
        <f>'Assumptions'!I22</f>
        <v/>
      </c>
      <c r="J38" s="29">
        <f>'Assumptions'!J22</f>
        <v/>
      </c>
      <c r="K38" s="29">
        <f>'Assumptions'!K22</f>
        <v/>
      </c>
      <c r="L38" s="29">
        <f>'Assumptions'!L22</f>
        <v/>
      </c>
      <c r="M38" s="29">
        <f>'Assumptions'!M22</f>
        <v/>
      </c>
      <c r="N38" s="29">
        <f>'Assumptions'!N22</f>
        <v/>
      </c>
      <c r="O38" s="29">
        <f>'Assumptions'!O22</f>
        <v/>
      </c>
    </row>
    <row r="39">
      <c r="F39" s="7" t="inlineStr">
        <is>
          <t>이커머스 기타</t>
        </is>
      </c>
      <c r="G39" s="8" t="inlineStr">
        <is>
          <t>ec_other_rev</t>
        </is>
      </c>
      <c r="H39" s="9" t="inlineStr">
        <is>
          <t>원</t>
        </is>
      </c>
      <c r="I39" s="25">
        <f>(I42*I43)</f>
        <v/>
      </c>
      <c r="J39" s="25">
        <f>(J42*J43)</f>
        <v/>
      </c>
      <c r="K39" s="25">
        <f>(K42*K43)</f>
        <v/>
      </c>
      <c r="L39" s="25">
        <f>(L42*L43)</f>
        <v/>
      </c>
      <c r="M39" s="25">
        <f>(M42*M43)</f>
        <v/>
      </c>
      <c r="N39" s="25">
        <f>(N42*N43)</f>
        <v/>
      </c>
      <c r="O39" s="25">
        <f>(O42*O43)</f>
        <v/>
      </c>
    </row>
    <row r="40">
      <c r="F40" s="7" t="inlineStr">
        <is>
          <t>기타 시장판매대수</t>
        </is>
      </c>
      <c r="G40" s="8" t="inlineStr">
        <is>
          <t>market_other</t>
        </is>
      </c>
      <c r="H40" s="9" t="inlineStr">
        <is>
          <t>대</t>
        </is>
      </c>
      <c r="I40" s="26">
        <f>'Assumptions'!I23</f>
        <v/>
      </c>
      <c r="J40" s="26">
        <f>'Assumptions'!J23</f>
        <v/>
      </c>
      <c r="K40" s="26">
        <f>'Assumptions'!K23</f>
        <v/>
      </c>
      <c r="L40" s="26">
        <f>'Assumptions'!L23</f>
        <v/>
      </c>
      <c r="M40" s="26">
        <f>'Assumptions'!M23</f>
        <v/>
      </c>
      <c r="N40" s="26">
        <f>'Assumptions'!N23</f>
        <v/>
      </c>
      <c r="O40" s="26">
        <f>'Assumptions'!O23</f>
        <v/>
      </c>
    </row>
    <row r="41">
      <c r="F41" s="11" t="inlineStr">
        <is>
          <t>이커머스 기타 점유율</t>
        </is>
      </c>
      <c r="G41" s="8" t="inlineStr">
        <is>
          <t>ec_other_share</t>
        </is>
      </c>
      <c r="H41" s="9" t="inlineStr">
        <is>
          <t>%</t>
        </is>
      </c>
      <c r="I41" s="27">
        <f>'Assumptions'!I24</f>
        <v/>
      </c>
      <c r="J41" s="27">
        <f>'Assumptions'!J24</f>
        <v/>
      </c>
      <c r="K41" s="27">
        <f>'Assumptions'!K24</f>
        <v/>
      </c>
      <c r="L41" s="27">
        <f>'Assumptions'!L24</f>
        <v/>
      </c>
      <c r="M41" s="27">
        <f>'Assumptions'!M24</f>
        <v/>
      </c>
      <c r="N41" s="27">
        <f>'Assumptions'!N24</f>
        <v/>
      </c>
      <c r="O41" s="27">
        <f>'Assumptions'!O24</f>
        <v/>
      </c>
    </row>
    <row r="42">
      <c r="F42" s="7" t="inlineStr">
        <is>
          <t>이커머스 기타 판매대수</t>
        </is>
      </c>
      <c r="G42" s="8" t="inlineStr">
        <is>
          <t>ec_other_volume</t>
        </is>
      </c>
      <c r="H42" s="9" t="inlineStr">
        <is>
          <t>대</t>
        </is>
      </c>
      <c r="I42" s="28">
        <f>(I40*I41)</f>
        <v/>
      </c>
      <c r="J42" s="28">
        <f>(J40*J41)</f>
        <v/>
      </c>
      <c r="K42" s="28">
        <f>(K40*K41)</f>
        <v/>
      </c>
      <c r="L42" s="28">
        <f>(L40*L41)</f>
        <v/>
      </c>
      <c r="M42" s="28">
        <f>(M40*M41)</f>
        <v/>
      </c>
      <c r="N42" s="28">
        <f>(N40*N41)</f>
        <v/>
      </c>
      <c r="O42" s="28">
        <f>(O40*O41)</f>
        <v/>
      </c>
    </row>
    <row r="43">
      <c r="F43" s="7" t="inlineStr">
        <is>
          <t>이커머스 기타 ASP</t>
        </is>
      </c>
      <c r="G43" s="8" t="inlineStr">
        <is>
          <t>ec_other_asp</t>
        </is>
      </c>
      <c r="H43" s="9" t="inlineStr">
        <is>
          <t>원/대</t>
        </is>
      </c>
      <c r="I43" s="29">
        <f>'Assumptions'!I25</f>
        <v/>
      </c>
      <c r="J43" s="29">
        <f>'Assumptions'!J25</f>
        <v/>
      </c>
      <c r="K43" s="29">
        <f>'Assumptions'!K25</f>
        <v/>
      </c>
      <c r="L43" s="29">
        <f>'Assumptions'!L25</f>
        <v/>
      </c>
      <c r="M43" s="29">
        <f>'Assumptions'!M25</f>
        <v/>
      </c>
      <c r="N43" s="29">
        <f>'Assumptions'!N25</f>
        <v/>
      </c>
      <c r="O43" s="29">
        <f>'Assumptions'!O25</f>
        <v/>
      </c>
    </row>
    <row r="44">
      <c r="E44" s="7" t="inlineStr">
        <is>
          <t>지점내방 중고차 판매</t>
        </is>
      </c>
      <c r="G44" s="8" t="inlineStr">
        <is>
          <t>branch_sales</t>
        </is>
      </c>
      <c r="H44" s="9" t="inlineStr">
        <is>
          <t>원</t>
        </is>
      </c>
      <c r="I44" s="25">
        <f>SUM(I45,I49,I53,I57,I61,I65,I69)</f>
        <v/>
      </c>
      <c r="J44" s="25">
        <f>SUM(J45,J49,J53,J57,J61,J65,J69)</f>
        <v/>
      </c>
      <c r="K44" s="25">
        <f>SUM(K45,K49,K53,K57,K61,K65,K69)</f>
        <v/>
      </c>
      <c r="L44" s="25">
        <f>SUM(L45,L49,L53,L57,L61,L65,L69)</f>
        <v/>
      </c>
      <c r="M44" s="25">
        <f>SUM(M45,M49,M53,M57,M61,M65,M69)</f>
        <v/>
      </c>
      <c r="N44" s="25">
        <f>SUM(N45,N49,N53,N57,N61,N65,N69)</f>
        <v/>
      </c>
      <c r="O44" s="25">
        <f>SUM(O45,O49,O53,O57,O61,O65,O69)</f>
        <v/>
      </c>
    </row>
    <row r="45">
      <c r="F45" s="7" t="inlineStr">
        <is>
          <t>지점내방 SUV</t>
        </is>
      </c>
      <c r="G45" s="8" t="inlineStr">
        <is>
          <t>br_suv_rev</t>
        </is>
      </c>
      <c r="H45" s="9" t="inlineStr">
        <is>
          <t>원</t>
        </is>
      </c>
      <c r="I45" s="25">
        <f>(I47*I48)</f>
        <v/>
      </c>
      <c r="J45" s="25">
        <f>(J47*J48)</f>
        <v/>
      </c>
      <c r="K45" s="25">
        <f>(K47*K48)</f>
        <v/>
      </c>
      <c r="L45" s="25">
        <f>(L47*L48)</f>
        <v/>
      </c>
      <c r="M45" s="25">
        <f>(M47*M48)</f>
        <v/>
      </c>
      <c r="N45" s="25">
        <f>(N47*N48)</f>
        <v/>
      </c>
      <c r="O45" s="25">
        <f>(O47*O48)</f>
        <v/>
      </c>
    </row>
    <row r="46">
      <c r="F46" s="11" t="inlineStr">
        <is>
          <t>지점내방 SUV 점유율</t>
        </is>
      </c>
      <c r="G46" s="8" t="inlineStr">
        <is>
          <t>br_suv_share</t>
        </is>
      </c>
      <c r="H46" s="9" t="inlineStr">
        <is>
          <t>%</t>
        </is>
      </c>
      <c r="I46" s="27">
        <f>'Assumptions'!I26</f>
        <v/>
      </c>
      <c r="J46" s="27">
        <f>'Assumptions'!J26</f>
        <v/>
      </c>
      <c r="K46" s="27">
        <f>'Assumptions'!K26</f>
        <v/>
      </c>
      <c r="L46" s="27">
        <f>'Assumptions'!L26</f>
        <v/>
      </c>
      <c r="M46" s="27">
        <f>'Assumptions'!M26</f>
        <v/>
      </c>
      <c r="N46" s="27">
        <f>'Assumptions'!N26</f>
        <v/>
      </c>
      <c r="O46" s="27">
        <f>'Assumptions'!O26</f>
        <v/>
      </c>
    </row>
    <row r="47">
      <c r="F47" s="7" t="inlineStr">
        <is>
          <t>지점내방 SUV 판매대수</t>
        </is>
      </c>
      <c r="G47" s="8" t="inlineStr">
        <is>
          <t>br_suv_volume</t>
        </is>
      </c>
      <c r="H47" s="9" t="inlineStr">
        <is>
          <t>대</t>
        </is>
      </c>
      <c r="I47" s="28">
        <f>(I10*I46)</f>
        <v/>
      </c>
      <c r="J47" s="28">
        <f>(J10*J46)</f>
        <v/>
      </c>
      <c r="K47" s="28">
        <f>(K10*K46)</f>
        <v/>
      </c>
      <c r="L47" s="28">
        <f>(L10*L46)</f>
        <v/>
      </c>
      <c r="M47" s="28">
        <f>(M10*M46)</f>
        <v/>
      </c>
      <c r="N47" s="28">
        <f>(N10*N46)</f>
        <v/>
      </c>
      <c r="O47" s="28">
        <f>(O10*O46)</f>
        <v/>
      </c>
    </row>
    <row r="48">
      <c r="F48" s="7" t="inlineStr">
        <is>
          <t>지점내방 SUV ASP</t>
        </is>
      </c>
      <c r="G48" s="8" t="inlineStr">
        <is>
          <t>br_suv_asp</t>
        </is>
      </c>
      <c r="H48" s="9" t="inlineStr">
        <is>
          <t>원/대</t>
        </is>
      </c>
      <c r="I48" s="29">
        <f>'Assumptions'!I27</f>
        <v/>
      </c>
      <c r="J48" s="29">
        <f>'Assumptions'!J27</f>
        <v/>
      </c>
      <c r="K48" s="29">
        <f>'Assumptions'!K27</f>
        <v/>
      </c>
      <c r="L48" s="29">
        <f>'Assumptions'!L27</f>
        <v/>
      </c>
      <c r="M48" s="29">
        <f>'Assumptions'!M27</f>
        <v/>
      </c>
      <c r="N48" s="29">
        <f>'Assumptions'!N27</f>
        <v/>
      </c>
      <c r="O48" s="29">
        <f>'Assumptions'!O27</f>
        <v/>
      </c>
    </row>
    <row r="49">
      <c r="F49" s="7" t="inlineStr">
        <is>
          <t>지점내방 대형</t>
        </is>
      </c>
      <c r="G49" s="8" t="inlineStr">
        <is>
          <t>br_large_rev</t>
        </is>
      </c>
      <c r="H49" s="9" t="inlineStr">
        <is>
          <t>원</t>
        </is>
      </c>
      <c r="I49" s="25">
        <f>(I51*I52)</f>
        <v/>
      </c>
      <c r="J49" s="25">
        <f>(J51*J52)</f>
        <v/>
      </c>
      <c r="K49" s="25">
        <f>(K51*K52)</f>
        <v/>
      </c>
      <c r="L49" s="25">
        <f>(L51*L52)</f>
        <v/>
      </c>
      <c r="M49" s="25">
        <f>(M51*M52)</f>
        <v/>
      </c>
      <c r="N49" s="25">
        <f>(N51*N52)</f>
        <v/>
      </c>
      <c r="O49" s="25">
        <f>(O51*O52)</f>
        <v/>
      </c>
    </row>
    <row r="50">
      <c r="F50" s="11" t="inlineStr">
        <is>
          <t>지점내방 대형 점유율</t>
        </is>
      </c>
      <c r="G50" s="8" t="inlineStr">
        <is>
          <t>br_large_share</t>
        </is>
      </c>
      <c r="H50" s="9" t="inlineStr">
        <is>
          <t>%</t>
        </is>
      </c>
      <c r="I50" s="27">
        <f>'Assumptions'!I28</f>
        <v/>
      </c>
      <c r="J50" s="27">
        <f>'Assumptions'!J28</f>
        <v/>
      </c>
      <c r="K50" s="27">
        <f>'Assumptions'!K28</f>
        <v/>
      </c>
      <c r="L50" s="27">
        <f>'Assumptions'!L28</f>
        <v/>
      </c>
      <c r="M50" s="27">
        <f>'Assumptions'!M28</f>
        <v/>
      </c>
      <c r="N50" s="27">
        <f>'Assumptions'!N28</f>
        <v/>
      </c>
      <c r="O50" s="27">
        <f>'Assumptions'!O28</f>
        <v/>
      </c>
    </row>
    <row r="51">
      <c r="F51" s="7" t="inlineStr">
        <is>
          <t>지점내방 대형 판매대수</t>
        </is>
      </c>
      <c r="G51" s="8" t="inlineStr">
        <is>
          <t>br_large_volume</t>
        </is>
      </c>
      <c r="H51" s="9" t="inlineStr">
        <is>
          <t>대</t>
        </is>
      </c>
      <c r="I51" s="28">
        <f>(I15*I50)</f>
        <v/>
      </c>
      <c r="J51" s="28">
        <f>(J15*J50)</f>
        <v/>
      </c>
      <c r="K51" s="28">
        <f>(K15*K50)</f>
        <v/>
      </c>
      <c r="L51" s="28">
        <f>(L15*L50)</f>
        <v/>
      </c>
      <c r="M51" s="28">
        <f>(M15*M50)</f>
        <v/>
      </c>
      <c r="N51" s="28">
        <f>(N15*N50)</f>
        <v/>
      </c>
      <c r="O51" s="28">
        <f>(O15*O50)</f>
        <v/>
      </c>
    </row>
    <row r="52">
      <c r="F52" s="7" t="inlineStr">
        <is>
          <t>지점내방 대형 ASP</t>
        </is>
      </c>
      <c r="G52" s="8" t="inlineStr">
        <is>
          <t>br_large_asp</t>
        </is>
      </c>
      <c r="H52" s="9" t="inlineStr">
        <is>
          <t>원/대</t>
        </is>
      </c>
      <c r="I52" s="29">
        <f>'Assumptions'!I29</f>
        <v/>
      </c>
      <c r="J52" s="29">
        <f>'Assumptions'!J29</f>
        <v/>
      </c>
      <c r="K52" s="29">
        <f>'Assumptions'!K29</f>
        <v/>
      </c>
      <c r="L52" s="29">
        <f>'Assumptions'!L29</f>
        <v/>
      </c>
      <c r="M52" s="29">
        <f>'Assumptions'!M29</f>
        <v/>
      </c>
      <c r="N52" s="29">
        <f>'Assumptions'!N29</f>
        <v/>
      </c>
      <c r="O52" s="29">
        <f>'Assumptions'!O29</f>
        <v/>
      </c>
    </row>
    <row r="53">
      <c r="F53" s="7" t="inlineStr">
        <is>
          <t>지점내방 중형</t>
        </is>
      </c>
      <c r="G53" s="8" t="inlineStr">
        <is>
          <t>br_midsize_rev</t>
        </is>
      </c>
      <c r="H53" s="9" t="inlineStr">
        <is>
          <t>원</t>
        </is>
      </c>
      <c r="I53" s="25">
        <f>(I55*I56)</f>
        <v/>
      </c>
      <c r="J53" s="25">
        <f>(J55*J56)</f>
        <v/>
      </c>
      <c r="K53" s="25">
        <f>(K55*K56)</f>
        <v/>
      </c>
      <c r="L53" s="25">
        <f>(L55*L56)</f>
        <v/>
      </c>
      <c r="M53" s="25">
        <f>(M55*M56)</f>
        <v/>
      </c>
      <c r="N53" s="25">
        <f>(N55*N56)</f>
        <v/>
      </c>
      <c r="O53" s="25">
        <f>(O55*O56)</f>
        <v/>
      </c>
    </row>
    <row r="54">
      <c r="F54" s="11" t="inlineStr">
        <is>
          <t>지점내방 중형 점유율</t>
        </is>
      </c>
      <c r="G54" s="8" t="inlineStr">
        <is>
          <t>br_midsize_share</t>
        </is>
      </c>
      <c r="H54" s="9" t="inlineStr">
        <is>
          <t>%</t>
        </is>
      </c>
      <c r="I54" s="27">
        <f>'Assumptions'!I30</f>
        <v/>
      </c>
      <c r="J54" s="27">
        <f>'Assumptions'!J30</f>
        <v/>
      </c>
      <c r="K54" s="27">
        <f>'Assumptions'!K30</f>
        <v/>
      </c>
      <c r="L54" s="27">
        <f>'Assumptions'!L30</f>
        <v/>
      </c>
      <c r="M54" s="27">
        <f>'Assumptions'!M30</f>
        <v/>
      </c>
      <c r="N54" s="27">
        <f>'Assumptions'!N30</f>
        <v/>
      </c>
      <c r="O54" s="27">
        <f>'Assumptions'!O30</f>
        <v/>
      </c>
    </row>
    <row r="55">
      <c r="F55" s="7" t="inlineStr">
        <is>
          <t>지점내방 중형 판매대수</t>
        </is>
      </c>
      <c r="G55" s="8" t="inlineStr">
        <is>
          <t>br_midsize_volume</t>
        </is>
      </c>
      <c r="H55" s="9" t="inlineStr">
        <is>
          <t>대</t>
        </is>
      </c>
      <c r="I55" s="28">
        <f>(I20*I54)</f>
        <v/>
      </c>
      <c r="J55" s="28">
        <f>(J20*J54)</f>
        <v/>
      </c>
      <c r="K55" s="28">
        <f>(K20*K54)</f>
        <v/>
      </c>
      <c r="L55" s="28">
        <f>(L20*L54)</f>
        <v/>
      </c>
      <c r="M55" s="28">
        <f>(M20*M54)</f>
        <v/>
      </c>
      <c r="N55" s="28">
        <f>(N20*N54)</f>
        <v/>
      </c>
      <c r="O55" s="28">
        <f>(O20*O54)</f>
        <v/>
      </c>
    </row>
    <row r="56">
      <c r="F56" s="7" t="inlineStr">
        <is>
          <t>지점내방 중형 ASP</t>
        </is>
      </c>
      <c r="G56" s="8" t="inlineStr">
        <is>
          <t>br_midsize_asp</t>
        </is>
      </c>
      <c r="H56" s="9" t="inlineStr">
        <is>
          <t>원/대</t>
        </is>
      </c>
      <c r="I56" s="29">
        <f>'Assumptions'!I31</f>
        <v/>
      </c>
      <c r="J56" s="29">
        <f>'Assumptions'!J31</f>
        <v/>
      </c>
      <c r="K56" s="29">
        <f>'Assumptions'!K31</f>
        <v/>
      </c>
      <c r="L56" s="29">
        <f>'Assumptions'!L31</f>
        <v/>
      </c>
      <c r="M56" s="29">
        <f>'Assumptions'!M31</f>
        <v/>
      </c>
      <c r="N56" s="29">
        <f>'Assumptions'!N31</f>
        <v/>
      </c>
      <c r="O56" s="29">
        <f>'Assumptions'!O31</f>
        <v/>
      </c>
    </row>
    <row r="57">
      <c r="F57" s="7" t="inlineStr">
        <is>
          <t>지점내방 준중형</t>
        </is>
      </c>
      <c r="G57" s="8" t="inlineStr">
        <is>
          <t>br_compact_rev</t>
        </is>
      </c>
      <c r="H57" s="9" t="inlineStr">
        <is>
          <t>원</t>
        </is>
      </c>
      <c r="I57" s="25">
        <f>(I59*I60)</f>
        <v/>
      </c>
      <c r="J57" s="25">
        <f>(J59*J60)</f>
        <v/>
      </c>
      <c r="K57" s="25">
        <f>(K59*K60)</f>
        <v/>
      </c>
      <c r="L57" s="25">
        <f>(L59*L60)</f>
        <v/>
      </c>
      <c r="M57" s="25">
        <f>(M59*M60)</f>
        <v/>
      </c>
      <c r="N57" s="25">
        <f>(N59*N60)</f>
        <v/>
      </c>
      <c r="O57" s="25">
        <f>(O59*O60)</f>
        <v/>
      </c>
    </row>
    <row r="58">
      <c r="F58" s="11" t="inlineStr">
        <is>
          <t>지점내방 준중형 점유율</t>
        </is>
      </c>
      <c r="G58" s="8" t="inlineStr">
        <is>
          <t>br_compact_share</t>
        </is>
      </c>
      <c r="H58" s="9" t="inlineStr">
        <is>
          <t>%</t>
        </is>
      </c>
      <c r="I58" s="27">
        <f>'Assumptions'!I32</f>
        <v/>
      </c>
      <c r="J58" s="27">
        <f>'Assumptions'!J32</f>
        <v/>
      </c>
      <c r="K58" s="27">
        <f>'Assumptions'!K32</f>
        <v/>
      </c>
      <c r="L58" s="27">
        <f>'Assumptions'!L32</f>
        <v/>
      </c>
      <c r="M58" s="27">
        <f>'Assumptions'!M32</f>
        <v/>
      </c>
      <c r="N58" s="27">
        <f>'Assumptions'!N32</f>
        <v/>
      </c>
      <c r="O58" s="27">
        <f>'Assumptions'!O32</f>
        <v/>
      </c>
    </row>
    <row r="59">
      <c r="F59" s="7" t="inlineStr">
        <is>
          <t>지점내방 준중형 판매대수</t>
        </is>
      </c>
      <c r="G59" s="8" t="inlineStr">
        <is>
          <t>br_compact_volume</t>
        </is>
      </c>
      <c r="H59" s="9" t="inlineStr">
        <is>
          <t>대</t>
        </is>
      </c>
      <c r="I59" s="28">
        <f>(I25*I58)</f>
        <v/>
      </c>
      <c r="J59" s="28">
        <f>(J25*J58)</f>
        <v/>
      </c>
      <c r="K59" s="28">
        <f>(K25*K58)</f>
        <v/>
      </c>
      <c r="L59" s="28">
        <f>(L25*L58)</f>
        <v/>
      </c>
      <c r="M59" s="28">
        <f>(M25*M58)</f>
        <v/>
      </c>
      <c r="N59" s="28">
        <f>(N25*N58)</f>
        <v/>
      </c>
      <c r="O59" s="28">
        <f>(O25*O58)</f>
        <v/>
      </c>
    </row>
    <row r="60">
      <c r="F60" s="7" t="inlineStr">
        <is>
          <t>지점내방 준중형 ASP</t>
        </is>
      </c>
      <c r="G60" s="8" t="inlineStr">
        <is>
          <t>br_compact_asp</t>
        </is>
      </c>
      <c r="H60" s="9" t="inlineStr">
        <is>
          <t>원/대</t>
        </is>
      </c>
      <c r="I60" s="29">
        <f>'Assumptions'!I33</f>
        <v/>
      </c>
      <c r="J60" s="29">
        <f>'Assumptions'!J33</f>
        <v/>
      </c>
      <c r="K60" s="29">
        <f>'Assumptions'!K33</f>
        <v/>
      </c>
      <c r="L60" s="29">
        <f>'Assumptions'!L33</f>
        <v/>
      </c>
      <c r="M60" s="29">
        <f>'Assumptions'!M33</f>
        <v/>
      </c>
      <c r="N60" s="29">
        <f>'Assumptions'!N33</f>
        <v/>
      </c>
      <c r="O60" s="29">
        <f>'Assumptions'!O33</f>
        <v/>
      </c>
    </row>
    <row r="61">
      <c r="F61" s="7" t="inlineStr">
        <is>
          <t>지점내방 소형</t>
        </is>
      </c>
      <c r="G61" s="8" t="inlineStr">
        <is>
          <t>br_small_rev</t>
        </is>
      </c>
      <c r="H61" s="9" t="inlineStr">
        <is>
          <t>원</t>
        </is>
      </c>
      <c r="I61" s="25">
        <f>(I63*I64)</f>
        <v/>
      </c>
      <c r="J61" s="25">
        <f>(J63*J64)</f>
        <v/>
      </c>
      <c r="K61" s="25">
        <f>(K63*K64)</f>
        <v/>
      </c>
      <c r="L61" s="25">
        <f>(L63*L64)</f>
        <v/>
      </c>
      <c r="M61" s="25">
        <f>(M63*M64)</f>
        <v/>
      </c>
      <c r="N61" s="25">
        <f>(N63*N64)</f>
        <v/>
      </c>
      <c r="O61" s="25">
        <f>(O63*O64)</f>
        <v/>
      </c>
    </row>
    <row r="62">
      <c r="F62" s="11" t="inlineStr">
        <is>
          <t>지점내방 소형 점유율</t>
        </is>
      </c>
      <c r="G62" s="8" t="inlineStr">
        <is>
          <t>br_small_share</t>
        </is>
      </c>
      <c r="H62" s="9" t="inlineStr">
        <is>
          <t>%</t>
        </is>
      </c>
      <c r="I62" s="27">
        <f>'Assumptions'!I34</f>
        <v/>
      </c>
      <c r="J62" s="27">
        <f>'Assumptions'!J34</f>
        <v/>
      </c>
      <c r="K62" s="27">
        <f>'Assumptions'!K34</f>
        <v/>
      </c>
      <c r="L62" s="27">
        <f>'Assumptions'!L34</f>
        <v/>
      </c>
      <c r="M62" s="27">
        <f>'Assumptions'!M34</f>
        <v/>
      </c>
      <c r="N62" s="27">
        <f>'Assumptions'!N34</f>
        <v/>
      </c>
      <c r="O62" s="27">
        <f>'Assumptions'!O34</f>
        <v/>
      </c>
    </row>
    <row r="63">
      <c r="F63" s="7" t="inlineStr">
        <is>
          <t>지점내방 소형 판매대수</t>
        </is>
      </c>
      <c r="G63" s="8" t="inlineStr">
        <is>
          <t>br_small_volume</t>
        </is>
      </c>
      <c r="H63" s="9" t="inlineStr">
        <is>
          <t>대</t>
        </is>
      </c>
      <c r="I63" s="28">
        <f>(I30*I62)</f>
        <v/>
      </c>
      <c r="J63" s="28">
        <f>(J30*J62)</f>
        <v/>
      </c>
      <c r="K63" s="28">
        <f>(K30*K62)</f>
        <v/>
      </c>
      <c r="L63" s="28">
        <f>(L30*L62)</f>
        <v/>
      </c>
      <c r="M63" s="28">
        <f>(M30*M62)</f>
        <v/>
      </c>
      <c r="N63" s="28">
        <f>(N30*N62)</f>
        <v/>
      </c>
      <c r="O63" s="28">
        <f>(O30*O62)</f>
        <v/>
      </c>
    </row>
    <row r="64">
      <c r="F64" s="7" t="inlineStr">
        <is>
          <t>지점내방 소형 ASP</t>
        </is>
      </c>
      <c r="G64" s="8" t="inlineStr">
        <is>
          <t>br_small_asp</t>
        </is>
      </c>
      <c r="H64" s="9" t="inlineStr">
        <is>
          <t>원/대</t>
        </is>
      </c>
      <c r="I64" s="29">
        <f>'Assumptions'!I35</f>
        <v/>
      </c>
      <c r="J64" s="29">
        <f>'Assumptions'!J35</f>
        <v/>
      </c>
      <c r="K64" s="29">
        <f>'Assumptions'!K35</f>
        <v/>
      </c>
      <c r="L64" s="29">
        <f>'Assumptions'!L35</f>
        <v/>
      </c>
      <c r="M64" s="29">
        <f>'Assumptions'!M35</f>
        <v/>
      </c>
      <c r="N64" s="29">
        <f>'Assumptions'!N35</f>
        <v/>
      </c>
      <c r="O64" s="29">
        <f>'Assumptions'!O35</f>
        <v/>
      </c>
    </row>
    <row r="65">
      <c r="F65" s="7" t="inlineStr">
        <is>
          <t>지점내방 화물차</t>
        </is>
      </c>
      <c r="G65" s="8" t="inlineStr">
        <is>
          <t>br_truck_rev</t>
        </is>
      </c>
      <c r="H65" s="9" t="inlineStr">
        <is>
          <t>원</t>
        </is>
      </c>
      <c r="I65" s="25">
        <f>(I67*I68)</f>
        <v/>
      </c>
      <c r="J65" s="25">
        <f>(J67*J68)</f>
        <v/>
      </c>
      <c r="K65" s="25">
        <f>(K67*K68)</f>
        <v/>
      </c>
      <c r="L65" s="25">
        <f>(L67*L68)</f>
        <v/>
      </c>
      <c r="M65" s="25">
        <f>(M67*M68)</f>
        <v/>
      </c>
      <c r="N65" s="25">
        <f>(N67*N68)</f>
        <v/>
      </c>
      <c r="O65" s="25">
        <f>(O67*O68)</f>
        <v/>
      </c>
    </row>
    <row r="66">
      <c r="F66" s="11" t="inlineStr">
        <is>
          <t>지점내방 화물차 점유율</t>
        </is>
      </c>
      <c r="G66" s="8" t="inlineStr">
        <is>
          <t>br_truck_share</t>
        </is>
      </c>
      <c r="H66" s="9" t="inlineStr">
        <is>
          <t>%</t>
        </is>
      </c>
      <c r="I66" s="27">
        <f>'Assumptions'!I36</f>
        <v/>
      </c>
      <c r="J66" s="27">
        <f>'Assumptions'!J36</f>
        <v/>
      </c>
      <c r="K66" s="27">
        <f>'Assumptions'!K36</f>
        <v/>
      </c>
      <c r="L66" s="27">
        <f>'Assumptions'!L36</f>
        <v/>
      </c>
      <c r="M66" s="27">
        <f>'Assumptions'!M36</f>
        <v/>
      </c>
      <c r="N66" s="27">
        <f>'Assumptions'!N36</f>
        <v/>
      </c>
      <c r="O66" s="27">
        <f>'Assumptions'!O36</f>
        <v/>
      </c>
    </row>
    <row r="67">
      <c r="F67" s="7" t="inlineStr">
        <is>
          <t>지점내방 화물차 판매대수</t>
        </is>
      </c>
      <c r="G67" s="8" t="inlineStr">
        <is>
          <t>br_truck_volume</t>
        </is>
      </c>
      <c r="H67" s="9" t="inlineStr">
        <is>
          <t>대</t>
        </is>
      </c>
      <c r="I67" s="28">
        <f>(I35*I66)</f>
        <v/>
      </c>
      <c r="J67" s="28">
        <f>(J35*J66)</f>
        <v/>
      </c>
      <c r="K67" s="28">
        <f>(K35*K66)</f>
        <v/>
      </c>
      <c r="L67" s="28">
        <f>(L35*L66)</f>
        <v/>
      </c>
      <c r="M67" s="28">
        <f>(M35*M66)</f>
        <v/>
      </c>
      <c r="N67" s="28">
        <f>(N35*N66)</f>
        <v/>
      </c>
      <c r="O67" s="28">
        <f>(O35*O66)</f>
        <v/>
      </c>
    </row>
    <row r="68">
      <c r="F68" s="7" t="inlineStr">
        <is>
          <t>지점내방 화물차 ASP</t>
        </is>
      </c>
      <c r="G68" s="8" t="inlineStr">
        <is>
          <t>br_truck_asp</t>
        </is>
      </c>
      <c r="H68" s="9" t="inlineStr">
        <is>
          <t>원/대</t>
        </is>
      </c>
      <c r="I68" s="29">
        <f>'Assumptions'!I37</f>
        <v/>
      </c>
      <c r="J68" s="29">
        <f>'Assumptions'!J37</f>
        <v/>
      </c>
      <c r="K68" s="29">
        <f>'Assumptions'!K37</f>
        <v/>
      </c>
      <c r="L68" s="29">
        <f>'Assumptions'!L37</f>
        <v/>
      </c>
      <c r="M68" s="29">
        <f>'Assumptions'!M37</f>
        <v/>
      </c>
      <c r="N68" s="29">
        <f>'Assumptions'!N37</f>
        <v/>
      </c>
      <c r="O68" s="29">
        <f>'Assumptions'!O37</f>
        <v/>
      </c>
    </row>
    <row r="69">
      <c r="F69" s="7" t="inlineStr">
        <is>
          <t>지점내방 기타</t>
        </is>
      </c>
      <c r="G69" s="8" t="inlineStr">
        <is>
          <t>br_other_rev</t>
        </is>
      </c>
      <c r="H69" s="9" t="inlineStr">
        <is>
          <t>원</t>
        </is>
      </c>
      <c r="I69" s="25">
        <f>(I71*I72)</f>
        <v/>
      </c>
      <c r="J69" s="25">
        <f>(J71*J72)</f>
        <v/>
      </c>
      <c r="K69" s="25">
        <f>(K71*K72)</f>
        <v/>
      </c>
      <c r="L69" s="25">
        <f>(L71*L72)</f>
        <v/>
      </c>
      <c r="M69" s="25">
        <f>(M71*M72)</f>
        <v/>
      </c>
      <c r="N69" s="25">
        <f>(N71*N72)</f>
        <v/>
      </c>
      <c r="O69" s="25">
        <f>(O71*O72)</f>
        <v/>
      </c>
    </row>
    <row r="70">
      <c r="F70" s="11" t="inlineStr">
        <is>
          <t>지점내방 기타 점유율</t>
        </is>
      </c>
      <c r="G70" s="8" t="inlineStr">
        <is>
          <t>br_other_share</t>
        </is>
      </c>
      <c r="H70" s="9" t="inlineStr">
        <is>
          <t>%</t>
        </is>
      </c>
      <c r="I70" s="27">
        <f>'Assumptions'!I38</f>
        <v/>
      </c>
      <c r="J70" s="27">
        <f>'Assumptions'!J38</f>
        <v/>
      </c>
      <c r="K70" s="27">
        <f>'Assumptions'!K38</f>
        <v/>
      </c>
      <c r="L70" s="27">
        <f>'Assumptions'!L38</f>
        <v/>
      </c>
      <c r="M70" s="27">
        <f>'Assumptions'!M38</f>
        <v/>
      </c>
      <c r="N70" s="27">
        <f>'Assumptions'!N38</f>
        <v/>
      </c>
      <c r="O70" s="27">
        <f>'Assumptions'!O38</f>
        <v/>
      </c>
    </row>
    <row r="71">
      <c r="F71" s="7" t="inlineStr">
        <is>
          <t>지점내방 기타 판매대수</t>
        </is>
      </c>
      <c r="G71" s="8" t="inlineStr">
        <is>
          <t>br_other_volume</t>
        </is>
      </c>
      <c r="H71" s="9" t="inlineStr">
        <is>
          <t>대</t>
        </is>
      </c>
      <c r="I71" s="28">
        <f>(I40*I70)</f>
        <v/>
      </c>
      <c r="J71" s="28">
        <f>(J40*J70)</f>
        <v/>
      </c>
      <c r="K71" s="28">
        <f>(K40*K70)</f>
        <v/>
      </c>
      <c r="L71" s="28">
        <f>(L40*L70)</f>
        <v/>
      </c>
      <c r="M71" s="28">
        <f>(M40*M70)</f>
        <v/>
      </c>
      <c r="N71" s="28">
        <f>(N40*N70)</f>
        <v/>
      </c>
      <c r="O71" s="28">
        <f>(O40*O70)</f>
        <v/>
      </c>
    </row>
    <row r="72">
      <c r="F72" s="7" t="inlineStr">
        <is>
          <t>지점내방 기타 ASP</t>
        </is>
      </c>
      <c r="G72" s="8" t="inlineStr">
        <is>
          <t>br_other_asp</t>
        </is>
      </c>
      <c r="H72" s="9" t="inlineStr">
        <is>
          <t>원/대</t>
        </is>
      </c>
      <c r="I72" s="29">
        <f>'Assumptions'!I39</f>
        <v/>
      </c>
      <c r="J72" s="29">
        <f>'Assumptions'!J39</f>
        <v/>
      </c>
      <c r="K72" s="29">
        <f>'Assumptions'!K39</f>
        <v/>
      </c>
      <c r="L72" s="29">
        <f>'Assumptions'!L39</f>
        <v/>
      </c>
      <c r="M72" s="29">
        <f>'Assumptions'!M39</f>
        <v/>
      </c>
      <c r="N72" s="29">
        <f>'Assumptions'!N39</f>
        <v/>
      </c>
      <c r="O72" s="29">
        <f>'Assumptions'!O39</f>
        <v/>
      </c>
    </row>
    <row r="73">
      <c r="E73" s="7" t="inlineStr">
        <is>
          <t>중고차 판매대수</t>
        </is>
      </c>
      <c r="G73" s="8" t="inlineStr">
        <is>
          <t>used_car_volume</t>
        </is>
      </c>
      <c r="H73" s="9" t="inlineStr">
        <is>
          <t>대</t>
        </is>
      </c>
      <c r="I73" s="28">
        <f>SUM(I12,I17,I22,I27,I32,I37,I42,I47,I51,I55,I59,I63,I67,I71)</f>
        <v/>
      </c>
      <c r="J73" s="28">
        <f>SUM(J12,J17,J22,J27,J32,J37,J42,J47,J51,J55,J59,J63,J67,J71)</f>
        <v/>
      </c>
      <c r="K73" s="28">
        <f>SUM(K12,K17,K22,K27,K32,K37,K42,K47,K51,K55,K59,K63,K67,K71)</f>
        <v/>
      </c>
      <c r="L73" s="28">
        <f>SUM(L12,L17,L22,L27,L32,L37,L42,L47,L51,L55,L59,L63,L67,L71)</f>
        <v/>
      </c>
      <c r="M73" s="28">
        <f>SUM(M12,M17,M22,M27,M32,M37,M42,M47,M51,M55,M59,M63,M67,M71)</f>
        <v/>
      </c>
      <c r="N73" s="28">
        <f>SUM(N12,N17,N22,N27,N32,N37,N42,N47,N51,N55,N59,N63,N67,N71)</f>
        <v/>
      </c>
      <c r="O73" s="28">
        <f>SUM(O12,O17,O22,O27,O32,O37,O42,O47,O51,O55,O59,O63,O67,O71)</f>
        <v/>
      </c>
    </row>
    <row r="74">
      <c r="D74" s="7" t="inlineStr">
        <is>
          <t>경매 매출</t>
        </is>
      </c>
      <c r="G74" s="8" t="inlineStr">
        <is>
          <t>auction_sales</t>
        </is>
      </c>
      <c r="H74" s="9" t="inlineStr">
        <is>
          <t>원</t>
        </is>
      </c>
      <c r="I74" s="25">
        <f>(I75+I76)</f>
        <v/>
      </c>
      <c r="J74" s="25">
        <f>(J75+J76)</f>
        <v/>
      </c>
      <c r="K74" s="25">
        <f>(K75+K76)</f>
        <v/>
      </c>
      <c r="L74" s="25">
        <f>(L75+L76)</f>
        <v/>
      </c>
      <c r="M74" s="25">
        <f>(M75+M76)</f>
        <v/>
      </c>
      <c r="N74" s="25">
        <f>(N75+N76)</f>
        <v/>
      </c>
      <c r="O74" s="25">
        <f>(O75+O76)</f>
        <v/>
      </c>
    </row>
    <row r="75">
      <c r="E75" s="7" t="inlineStr">
        <is>
          <t>경매 상품 매출</t>
        </is>
      </c>
      <c r="G75" s="8" t="inlineStr">
        <is>
          <t>auction_product_sales</t>
        </is>
      </c>
      <c r="H75" s="9" t="inlineStr">
        <is>
          <t>원</t>
        </is>
      </c>
      <c r="I75" s="29">
        <f>'Assumptions'!I40</f>
        <v/>
      </c>
      <c r="J75" s="29">
        <f>'Assumptions'!J40</f>
        <v/>
      </c>
      <c r="K75" s="29">
        <f>'Assumptions'!K40</f>
        <v/>
      </c>
      <c r="L75" s="29">
        <f>'Assumptions'!L40</f>
        <v/>
      </c>
      <c r="M75" s="29">
        <f>'Assumptions'!M40</f>
        <v/>
      </c>
      <c r="N75" s="29">
        <f>'Assumptions'!N40</f>
        <v/>
      </c>
      <c r="O75" s="29">
        <f>'Assumptions'!O40</f>
        <v/>
      </c>
    </row>
    <row r="76">
      <c r="E76" s="7" t="inlineStr">
        <is>
          <t>경매 용역 매출</t>
        </is>
      </c>
      <c r="G76" s="8" t="inlineStr">
        <is>
          <t>auction_service_sales</t>
        </is>
      </c>
      <c r="H76" s="9" t="inlineStr">
        <is>
          <t>원</t>
        </is>
      </c>
      <c r="I76" s="29">
        <f>'Assumptions'!I41</f>
        <v/>
      </c>
      <c r="J76" s="29">
        <f>'Assumptions'!J41</f>
        <v/>
      </c>
      <c r="K76" s="29">
        <f>'Assumptions'!K41</f>
        <v/>
      </c>
      <c r="L76" s="29">
        <f>'Assumptions'!L41</f>
        <v/>
      </c>
      <c r="M76" s="29">
        <f>'Assumptions'!M41</f>
        <v/>
      </c>
      <c r="N76" s="29">
        <f>'Assumptions'!N41</f>
        <v/>
      </c>
      <c r="O76" s="29">
        <f>'Assumptions'!O41</f>
        <v/>
      </c>
    </row>
    <row r="77">
      <c r="D77" s="7" t="inlineStr">
        <is>
          <t>렌터카 매출</t>
        </is>
      </c>
      <c r="G77" s="8" t="inlineStr">
        <is>
          <t>rental_sales</t>
        </is>
      </c>
      <c r="H77" s="9" t="inlineStr">
        <is>
          <t>원</t>
        </is>
      </c>
      <c r="I77" s="25">
        <f>(I78+I79)</f>
        <v/>
      </c>
      <c r="J77" s="25">
        <f>(J78+J79)</f>
        <v/>
      </c>
      <c r="K77" s="25">
        <f>(K78+K79)</f>
        <v/>
      </c>
      <c r="L77" s="25">
        <f>(L78+L79)</f>
        <v/>
      </c>
      <c r="M77" s="25">
        <f>(M78+M79)</f>
        <v/>
      </c>
      <c r="N77" s="25">
        <f>(N78+N79)</f>
        <v/>
      </c>
      <c r="O77" s="25">
        <f>(O78+O79)</f>
        <v/>
      </c>
    </row>
    <row r="78">
      <c r="E78" s="7" t="inlineStr">
        <is>
          <t>렌터카 매각 매출</t>
        </is>
      </c>
      <c r="G78" s="8" t="inlineStr">
        <is>
          <t>rental_disposal_sales</t>
        </is>
      </c>
      <c r="H78" s="9" t="inlineStr">
        <is>
          <t>원</t>
        </is>
      </c>
      <c r="I78" s="29">
        <f>'Assumptions'!I42</f>
        <v/>
      </c>
      <c r="J78" s="29">
        <f>'Assumptions'!J42</f>
        <v/>
      </c>
      <c r="K78" s="29">
        <f>'Assumptions'!K42</f>
        <v/>
      </c>
      <c r="L78" s="29">
        <f>'Assumptions'!L42</f>
        <v/>
      </c>
      <c r="M78" s="29">
        <f>'Assumptions'!M42</f>
        <v/>
      </c>
      <c r="N78" s="29">
        <f>'Assumptions'!N42</f>
        <v/>
      </c>
      <c r="O78" s="29">
        <f>'Assumptions'!O42</f>
        <v/>
      </c>
    </row>
    <row r="79">
      <c r="E79" s="7" t="inlineStr">
        <is>
          <t>장기렌트 매출</t>
        </is>
      </c>
      <c r="G79" s="8" t="inlineStr">
        <is>
          <t>longterm_rental_sales</t>
        </is>
      </c>
      <c r="H79" s="9" t="inlineStr">
        <is>
          <t>원</t>
        </is>
      </c>
      <c r="I79" s="29">
        <f>'Assumptions'!I43</f>
        <v/>
      </c>
      <c r="J79" s="29">
        <f>'Assumptions'!J43</f>
        <v/>
      </c>
      <c r="K79" s="29">
        <f>'Assumptions'!K43</f>
        <v/>
      </c>
      <c r="L79" s="29">
        <f>'Assumptions'!L43</f>
        <v/>
      </c>
      <c r="M79" s="29">
        <f>'Assumptions'!M43</f>
        <v/>
      </c>
      <c r="N79" s="29">
        <f>'Assumptions'!N43</f>
        <v/>
      </c>
      <c r="O79" s="29">
        <f>'Assumptions'!O43</f>
        <v/>
      </c>
    </row>
    <row r="80">
      <c r="D80" s="7" t="inlineStr">
        <is>
          <t>용역 / 기타 매출</t>
        </is>
      </c>
      <c r="G80" s="8" t="inlineStr">
        <is>
          <t>service_other_sales</t>
        </is>
      </c>
      <c r="H80" s="9" t="inlineStr">
        <is>
          <t>원</t>
        </is>
      </c>
      <c r="I80" s="25">
        <f>((I81+I83)+I85)</f>
        <v/>
      </c>
      <c r="J80" s="25">
        <f>((J81+J83)+J85)</f>
        <v/>
      </c>
      <c r="K80" s="25">
        <f>((K81+K83)+K85)</f>
        <v/>
      </c>
      <c r="L80" s="25">
        <f>((L81+L83)+L85)</f>
        <v/>
      </c>
      <c r="M80" s="25">
        <f>((M81+M83)+M85)</f>
        <v/>
      </c>
      <c r="N80" s="25">
        <f>((N81+N83)+N85)</f>
        <v/>
      </c>
      <c r="O80" s="25">
        <f>((O81+O83)+O85)</f>
        <v/>
      </c>
    </row>
    <row r="81">
      <c r="E81" s="7" t="inlineStr">
        <is>
          <t>이커머스 용역 매출</t>
        </is>
      </c>
      <c r="G81" s="8" t="inlineStr">
        <is>
          <t>ecommerce_service_sales</t>
        </is>
      </c>
      <c r="H81" s="9" t="inlineStr">
        <is>
          <t>원</t>
        </is>
      </c>
      <c r="I81" s="25">
        <f>(I8*I82)</f>
        <v/>
      </c>
      <c r="J81" s="25">
        <f>(J8*J82)</f>
        <v/>
      </c>
      <c r="K81" s="25">
        <f>(K8*K82)</f>
        <v/>
      </c>
      <c r="L81" s="25">
        <f>(L8*L82)</f>
        <v/>
      </c>
      <c r="M81" s="25">
        <f>(M8*M82)</f>
        <v/>
      </c>
      <c r="N81" s="25">
        <f>(N8*N82)</f>
        <v/>
      </c>
      <c r="O81" s="25">
        <f>(O8*O82)</f>
        <v/>
      </c>
    </row>
    <row r="82">
      <c r="F82" s="11" t="inlineStr">
        <is>
          <t>이커머스 용역 매출률</t>
        </is>
      </c>
      <c r="G82" s="8" t="inlineStr">
        <is>
          <t>ecommerce_service_rate</t>
        </is>
      </c>
      <c r="H82" s="9" t="inlineStr">
        <is>
          <t>%</t>
        </is>
      </c>
      <c r="I82" s="27">
        <f>'Assumptions'!I44</f>
        <v/>
      </c>
      <c r="J82" s="27">
        <f>'Assumptions'!J44</f>
        <v/>
      </c>
      <c r="K82" s="27">
        <f>'Assumptions'!K44</f>
        <v/>
      </c>
      <c r="L82" s="27">
        <f>'Assumptions'!L44</f>
        <v/>
      </c>
      <c r="M82" s="27">
        <f>'Assumptions'!M44</f>
        <v/>
      </c>
      <c r="N82" s="27">
        <f>'Assumptions'!N44</f>
        <v/>
      </c>
      <c r="O82" s="27">
        <f>'Assumptions'!O44</f>
        <v/>
      </c>
    </row>
    <row r="83">
      <c r="E83" s="7" t="inlineStr">
        <is>
          <t>지점내방 용역 매출</t>
        </is>
      </c>
      <c r="G83" s="8" t="inlineStr">
        <is>
          <t>branch_service_sales</t>
        </is>
      </c>
      <c r="H83" s="9" t="inlineStr">
        <is>
          <t>원</t>
        </is>
      </c>
      <c r="I83" s="25">
        <f>(I44*I84)</f>
        <v/>
      </c>
      <c r="J83" s="25">
        <f>(J44*J84)</f>
        <v/>
      </c>
      <c r="K83" s="25">
        <f>(K44*K84)</f>
        <v/>
      </c>
      <c r="L83" s="25">
        <f>(L44*L84)</f>
        <v/>
      </c>
      <c r="M83" s="25">
        <f>(M44*M84)</f>
        <v/>
      </c>
      <c r="N83" s="25">
        <f>(N44*N84)</f>
        <v/>
      </c>
      <c r="O83" s="25">
        <f>(O44*O84)</f>
        <v/>
      </c>
    </row>
    <row r="84">
      <c r="F84" s="11" t="inlineStr">
        <is>
          <t>지점내방 용역 매출률</t>
        </is>
      </c>
      <c r="G84" s="8" t="inlineStr">
        <is>
          <t>branch_service_rate</t>
        </is>
      </c>
      <c r="H84" s="9" t="inlineStr">
        <is>
          <t>%</t>
        </is>
      </c>
      <c r="I84" s="27">
        <f>'Assumptions'!I45</f>
        <v/>
      </c>
      <c r="J84" s="27">
        <f>'Assumptions'!J45</f>
        <v/>
      </c>
      <c r="K84" s="27">
        <f>'Assumptions'!K45</f>
        <v/>
      </c>
      <c r="L84" s="27">
        <f>'Assumptions'!L45</f>
        <v/>
      </c>
      <c r="M84" s="27">
        <f>'Assumptions'!M45</f>
        <v/>
      </c>
      <c r="N84" s="27">
        <f>'Assumptions'!N45</f>
        <v/>
      </c>
      <c r="O84" s="27">
        <f>'Assumptions'!O45</f>
        <v/>
      </c>
    </row>
    <row r="85">
      <c r="E85" s="7" t="inlineStr">
        <is>
          <t>기타 매출</t>
        </is>
      </c>
      <c r="G85" s="8" t="inlineStr">
        <is>
          <t>other_sales</t>
        </is>
      </c>
      <c r="H85" s="9" t="inlineStr">
        <is>
          <t>원</t>
        </is>
      </c>
      <c r="I85" s="29">
        <f>'Assumptions'!I46</f>
        <v/>
      </c>
      <c r="J85" s="29">
        <f>'Assumptions'!J46</f>
        <v/>
      </c>
      <c r="K85" s="29">
        <f>'Assumptions'!K46</f>
        <v/>
      </c>
      <c r="L85" s="29">
        <f>'Assumptions'!L46</f>
        <v/>
      </c>
      <c r="M85" s="29">
        <f>'Assumptions'!M46</f>
        <v/>
      </c>
      <c r="N85" s="29">
        <f>'Assumptions'!N46</f>
        <v/>
      </c>
      <c r="O85" s="29">
        <f>'Assumptions'!O46</f>
        <v/>
      </c>
    </row>
    <row r="86">
      <c r="B86" s="20" t="n"/>
      <c r="C86" s="21" t="inlineStr">
        <is>
          <t>비용 합계</t>
        </is>
      </c>
      <c r="D86" s="20" t="n"/>
      <c r="E86" s="20" t="n"/>
      <c r="F86" s="20" t="n"/>
      <c r="G86" s="22" t="inlineStr">
        <is>
          <t>total_cost</t>
        </is>
      </c>
      <c r="H86" s="23" t="inlineStr">
        <is>
          <t>원</t>
        </is>
      </c>
      <c r="I86" s="24">
        <f>SUM(I87,I89,I91,I93,I95,I96,I99)</f>
        <v/>
      </c>
      <c r="J86" s="24">
        <f>SUM(J87,J89,J91,J93,J95,J96,J99)</f>
        <v/>
      </c>
      <c r="K86" s="24">
        <f>SUM(K87,K89,K91,K93,K95,K96,K99)</f>
        <v/>
      </c>
      <c r="L86" s="24">
        <f>SUM(L87,L89,L91,L93,L95,L96,L99)</f>
        <v/>
      </c>
      <c r="M86" s="24">
        <f>SUM(M87,M89,M91,M93,M95,M96,M99)</f>
        <v/>
      </c>
      <c r="N86" s="24">
        <f>SUM(N87,N89,N91,N93,N95,N96,N99)</f>
        <v/>
      </c>
      <c r="O86" s="24">
        <f>SUM(O87,O89,O91,O93,O95,O96,O99)</f>
        <v/>
      </c>
    </row>
    <row r="87">
      <c r="D87" s="7" t="inlineStr">
        <is>
          <t>재고자산원가</t>
        </is>
      </c>
      <c r="G87" s="8" t="inlineStr">
        <is>
          <t>inventory_cost</t>
        </is>
      </c>
      <c r="H87" s="9" t="inlineStr">
        <is>
          <t>원</t>
        </is>
      </c>
      <c r="I87" s="25">
        <f>(I73*I88)</f>
        <v/>
      </c>
      <c r="J87" s="25">
        <f>(J73*J88)</f>
        <v/>
      </c>
      <c r="K87" s="25">
        <f>(K73*K88)</f>
        <v/>
      </c>
      <c r="L87" s="25">
        <f>(L73*L88)</f>
        <v/>
      </c>
      <c r="M87" s="25">
        <f>(M73*M88)</f>
        <v/>
      </c>
      <c r="N87" s="25">
        <f>(N73*N88)</f>
        <v/>
      </c>
      <c r="O87" s="25">
        <f>(O73*O88)</f>
        <v/>
      </c>
    </row>
    <row r="88">
      <c r="E88" s="7" t="inlineStr">
        <is>
          <t>중고차 1대당 원가</t>
        </is>
      </c>
      <c r="G88" s="8" t="inlineStr">
        <is>
          <t>unit_inventory_cost</t>
        </is>
      </c>
      <c r="H88" s="9" t="inlineStr">
        <is>
          <t>원/대</t>
        </is>
      </c>
      <c r="I88" s="29">
        <f>'Assumptions'!I47</f>
        <v/>
      </c>
      <c r="J88" s="29">
        <f>'Assumptions'!J47</f>
        <v/>
      </c>
      <c r="K88" s="29">
        <f>'Assumptions'!K47</f>
        <v/>
      </c>
      <c r="L88" s="29">
        <f>'Assumptions'!L47</f>
        <v/>
      </c>
      <c r="M88" s="29">
        <f>'Assumptions'!M47</f>
        <v/>
      </c>
      <c r="N88" s="29">
        <f>'Assumptions'!N47</f>
        <v/>
      </c>
      <c r="O88" s="29">
        <f>'Assumptions'!O47</f>
        <v/>
      </c>
    </row>
    <row r="89">
      <c r="D89" s="7" t="inlineStr">
        <is>
          <t>판매보증비</t>
        </is>
      </c>
      <c r="G89" s="8" t="inlineStr">
        <is>
          <t>warranty_cost</t>
        </is>
      </c>
      <c r="H89" s="9" t="inlineStr">
        <is>
          <t>원</t>
        </is>
      </c>
      <c r="I89" s="25">
        <f>(I73*I90)</f>
        <v/>
      </c>
      <c r="J89" s="25">
        <f>(J73*J90)</f>
        <v/>
      </c>
      <c r="K89" s="25">
        <f>(K73*K90)</f>
        <v/>
      </c>
      <c r="L89" s="25">
        <f>(L73*L90)</f>
        <v/>
      </c>
      <c r="M89" s="25">
        <f>(M73*M90)</f>
        <v/>
      </c>
      <c r="N89" s="25">
        <f>(N73*N90)</f>
        <v/>
      </c>
      <c r="O89" s="25">
        <f>(O73*O90)</f>
        <v/>
      </c>
    </row>
    <row r="90">
      <c r="E90" s="7" t="inlineStr">
        <is>
          <t>대당 보증비</t>
        </is>
      </c>
      <c r="G90" s="8" t="inlineStr">
        <is>
          <t>warranty_cost_per_unit</t>
        </is>
      </c>
      <c r="H90" s="9" t="inlineStr">
        <is>
          <t>원/대</t>
        </is>
      </c>
      <c r="I90" s="29">
        <f>'Assumptions'!I48</f>
        <v/>
      </c>
      <c r="J90" s="29">
        <f>'Assumptions'!J48</f>
        <v/>
      </c>
      <c r="K90" s="29">
        <f>'Assumptions'!K48</f>
        <v/>
      </c>
      <c r="L90" s="29">
        <f>'Assumptions'!L48</f>
        <v/>
      </c>
      <c r="M90" s="29">
        <f>'Assumptions'!M48</f>
        <v/>
      </c>
      <c r="N90" s="29">
        <f>'Assumptions'!N48</f>
        <v/>
      </c>
      <c r="O90" s="29">
        <f>'Assumptions'!O48</f>
        <v/>
      </c>
    </row>
    <row r="91">
      <c r="D91" s="7" t="inlineStr">
        <is>
          <t>차량매각원가</t>
        </is>
      </c>
      <c r="G91" s="8" t="inlineStr">
        <is>
          <t>rental_car_cost</t>
        </is>
      </c>
      <c r="H91" s="9" t="inlineStr">
        <is>
          <t>원</t>
        </is>
      </c>
      <c r="I91" s="25">
        <f>(I78*I92)</f>
        <v/>
      </c>
      <c r="J91" s="25">
        <f>(J78*J92)</f>
        <v/>
      </c>
      <c r="K91" s="25">
        <f>(K78*K92)</f>
        <v/>
      </c>
      <c r="L91" s="25">
        <f>(L78*L92)</f>
        <v/>
      </c>
      <c r="M91" s="25">
        <f>(M78*M92)</f>
        <v/>
      </c>
      <c r="N91" s="25">
        <f>(N78*N92)</f>
        <v/>
      </c>
      <c r="O91" s="25">
        <f>(O78*O92)</f>
        <v/>
      </c>
    </row>
    <row r="92">
      <c r="E92" s="11" t="inlineStr">
        <is>
          <t>차량매각원가율</t>
        </is>
      </c>
      <c r="G92" s="8" t="inlineStr">
        <is>
          <t>rental_disposal_cost_rate</t>
        </is>
      </c>
      <c r="H92" s="9" t="inlineStr">
        <is>
          <t>%</t>
        </is>
      </c>
      <c r="I92" s="27">
        <f>'Assumptions'!I49</f>
        <v/>
      </c>
      <c r="J92" s="27">
        <f>'Assumptions'!J49</f>
        <v/>
      </c>
      <c r="K92" s="27">
        <f>'Assumptions'!K49</f>
        <v/>
      </c>
      <c r="L92" s="27">
        <f>'Assumptions'!L49</f>
        <v/>
      </c>
      <c r="M92" s="27">
        <f>'Assumptions'!M49</f>
        <v/>
      </c>
      <c r="N92" s="27">
        <f>'Assumptions'!N49</f>
        <v/>
      </c>
      <c r="O92" s="27">
        <f>'Assumptions'!O49</f>
        <v/>
      </c>
    </row>
    <row r="93">
      <c r="D93" s="7" t="inlineStr">
        <is>
          <t>변동 판관비</t>
        </is>
      </c>
      <c r="G93" s="8" t="inlineStr">
        <is>
          <t>variable_sga</t>
        </is>
      </c>
      <c r="H93" s="9" t="inlineStr">
        <is>
          <t>원</t>
        </is>
      </c>
      <c r="I93" s="25">
        <f>(I6*I94)</f>
        <v/>
      </c>
      <c r="J93" s="25">
        <f>(J6*J94)</f>
        <v/>
      </c>
      <c r="K93" s="25">
        <f>(K6*K94)</f>
        <v/>
      </c>
      <c r="L93" s="25">
        <f>(L6*L94)</f>
        <v/>
      </c>
      <c r="M93" s="25">
        <f>(M6*M94)</f>
        <v/>
      </c>
      <c r="N93" s="25">
        <f>(N6*N94)</f>
        <v/>
      </c>
      <c r="O93" s="25">
        <f>(O6*O94)</f>
        <v/>
      </c>
    </row>
    <row r="94">
      <c r="E94" s="11" t="inlineStr">
        <is>
          <t>변동 판관비율</t>
        </is>
      </c>
      <c r="G94" s="8" t="inlineStr">
        <is>
          <t>variable_sga_rate</t>
        </is>
      </c>
      <c r="H94" s="9" t="inlineStr">
        <is>
          <t>%</t>
        </is>
      </c>
      <c r="I94" s="27">
        <f>'Assumptions'!I50</f>
        <v/>
      </c>
      <c r="J94" s="27">
        <f>'Assumptions'!J50</f>
        <v/>
      </c>
      <c r="K94" s="27">
        <f>'Assumptions'!K50</f>
        <v/>
      </c>
      <c r="L94" s="27">
        <f>'Assumptions'!L50</f>
        <v/>
      </c>
      <c r="M94" s="27">
        <f>'Assumptions'!M50</f>
        <v/>
      </c>
      <c r="N94" s="27">
        <f>'Assumptions'!N50</f>
        <v/>
      </c>
      <c r="O94" s="27">
        <f>'Assumptions'!O50</f>
        <v/>
      </c>
    </row>
    <row r="95">
      <c r="D95" s="7" t="inlineStr">
        <is>
          <t>고정 판관비</t>
        </is>
      </c>
      <c r="G95" s="8" t="inlineStr">
        <is>
          <t>fixed_sga</t>
        </is>
      </c>
      <c r="H95" s="9" t="inlineStr">
        <is>
          <t>원</t>
        </is>
      </c>
      <c r="I95" s="29">
        <f>'Assumptions'!I51</f>
        <v/>
      </c>
      <c r="J95" s="29">
        <f>'Assumptions'!J51</f>
        <v/>
      </c>
      <c r="K95" s="29">
        <f>'Assumptions'!K51</f>
        <v/>
      </c>
      <c r="L95" s="29">
        <f>'Assumptions'!L51</f>
        <v/>
      </c>
      <c r="M95" s="29">
        <f>'Assumptions'!M51</f>
        <v/>
      </c>
      <c r="N95" s="29">
        <f>'Assumptions'!N51</f>
        <v/>
      </c>
      <c r="O95" s="29">
        <f>'Assumptions'!O51</f>
        <v/>
      </c>
    </row>
    <row r="96">
      <c r="D96" s="7" t="inlineStr">
        <is>
          <t>인건비</t>
        </is>
      </c>
      <c r="G96" s="8" t="inlineStr">
        <is>
          <t>labor_cost</t>
        </is>
      </c>
      <c r="H96" s="9" t="inlineStr">
        <is>
          <t>원</t>
        </is>
      </c>
      <c r="I96" s="25">
        <f>(I97*I98)</f>
        <v/>
      </c>
      <c r="J96" s="25">
        <f>(J97*J98)</f>
        <v/>
      </c>
      <c r="K96" s="25">
        <f>(K97*K98)</f>
        <v/>
      </c>
      <c r="L96" s="25">
        <f>(L97*L98)</f>
        <v/>
      </c>
      <c r="M96" s="25">
        <f>(M97*M98)</f>
        <v/>
      </c>
      <c r="N96" s="25">
        <f>(N97*N98)</f>
        <v/>
      </c>
      <c r="O96" s="25">
        <f>(O97*O98)</f>
        <v/>
      </c>
    </row>
    <row r="97">
      <c r="E97" s="7" t="inlineStr">
        <is>
          <t>필요 인원</t>
        </is>
      </c>
      <c r="G97" s="8" t="inlineStr">
        <is>
          <t>employee_count</t>
        </is>
      </c>
      <c r="H97" s="9" t="inlineStr">
        <is>
          <t>명</t>
        </is>
      </c>
      <c r="I97" s="26">
        <f>'Assumptions'!I52</f>
        <v/>
      </c>
      <c r="J97" s="26">
        <f>'Assumptions'!J52</f>
        <v/>
      </c>
      <c r="K97" s="26">
        <f>'Assumptions'!K52</f>
        <v/>
      </c>
      <c r="L97" s="26">
        <f>'Assumptions'!L52</f>
        <v/>
      </c>
      <c r="M97" s="26">
        <f>'Assumptions'!M52</f>
        <v/>
      </c>
      <c r="N97" s="26">
        <f>'Assumptions'!N52</f>
        <v/>
      </c>
      <c r="O97" s="26">
        <f>'Assumptions'!O52</f>
        <v/>
      </c>
    </row>
    <row r="98">
      <c r="E98" s="7" t="inlineStr">
        <is>
          <t>평균 급여</t>
        </is>
      </c>
      <c r="G98" s="8" t="inlineStr">
        <is>
          <t>avg_salary</t>
        </is>
      </c>
      <c r="H98" s="9" t="inlineStr">
        <is>
          <t>원/명</t>
        </is>
      </c>
      <c r="I98" s="29">
        <f>'Assumptions'!I53</f>
        <v/>
      </c>
      <c r="J98" s="29">
        <f>'Assumptions'!J53</f>
        <v/>
      </c>
      <c r="K98" s="29">
        <f>'Assumptions'!K53</f>
        <v/>
      </c>
      <c r="L98" s="29">
        <f>'Assumptions'!L53</f>
        <v/>
      </c>
      <c r="M98" s="29">
        <f>'Assumptions'!M53</f>
        <v/>
      </c>
      <c r="N98" s="29">
        <f>'Assumptions'!N53</f>
        <v/>
      </c>
      <c r="O98" s="29">
        <f>'Assumptions'!O53</f>
        <v/>
      </c>
    </row>
    <row r="99">
      <c r="D99" s="7" t="inlineStr">
        <is>
          <t>감가상각비</t>
        </is>
      </c>
      <c r="G99" s="8" t="inlineStr">
        <is>
          <t>da</t>
        </is>
      </c>
      <c r="H99" s="9" t="inlineStr">
        <is>
          <t>원</t>
        </is>
      </c>
      <c r="I99" s="29">
        <f>'Assumptions'!I54</f>
        <v/>
      </c>
      <c r="J99" s="29">
        <f>'Assumptions'!J54</f>
        <v/>
      </c>
      <c r="K99" s="29">
        <f>'Assumptions'!K54</f>
        <v/>
      </c>
      <c r="L99" s="29">
        <f>'Assumptions'!L54</f>
        <v/>
      </c>
      <c r="M99" s="29">
        <f>'Assumptions'!M54</f>
        <v/>
      </c>
      <c r="N99" s="29">
        <f>'Assumptions'!N54</f>
        <v/>
      </c>
      <c r="O99" s="29">
        <f>'Assumptions'!O54</f>
        <v/>
      </c>
    </row>
    <row r="100">
      <c r="B100" s="20" t="n"/>
      <c r="C100" s="21" t="inlineStr">
        <is>
          <t>영업이익</t>
        </is>
      </c>
      <c r="D100" s="20" t="n"/>
      <c r="E100" s="20" t="n"/>
      <c r="F100" s="20" t="n"/>
      <c r="G100" s="22" t="inlineStr">
        <is>
          <t>op_profit</t>
        </is>
      </c>
      <c r="H100" s="23" t="inlineStr">
        <is>
          <t>원</t>
        </is>
      </c>
      <c r="I100" s="24">
        <f>(I6-I86)</f>
        <v/>
      </c>
      <c r="J100" s="24">
        <f>(J6-J86)</f>
        <v/>
      </c>
      <c r="K100" s="24">
        <f>(K6-K86)</f>
        <v/>
      </c>
      <c r="L100" s="24">
        <f>(L6-L86)</f>
        <v/>
      </c>
      <c r="M100" s="24">
        <f>(M6-M86)</f>
        <v/>
      </c>
      <c r="N100" s="24">
        <f>(N6-N86)</f>
        <v/>
      </c>
      <c r="O100" s="24">
        <f>(O6-O86)</f>
        <v/>
      </c>
    </row>
    <row r="101">
      <c r="B101" s="20" t="n"/>
      <c r="C101" s="21" t="inlineStr">
        <is>
          <t>FCFF</t>
        </is>
      </c>
      <c r="D101" s="20" t="n"/>
      <c r="E101" s="20" t="n"/>
      <c r="F101" s="20" t="n"/>
      <c r="G101" s="22" t="inlineStr">
        <is>
          <t>fcff</t>
        </is>
      </c>
      <c r="H101" s="23" t="inlineStr">
        <is>
          <t>원</t>
        </is>
      </c>
      <c r="I101" s="24">
        <f>(((I104+I99)-I108)-I107)</f>
        <v/>
      </c>
      <c r="J101" s="24">
        <f>(((J104+J99)-J108)-J107)</f>
        <v/>
      </c>
      <c r="K101" s="24">
        <f>(((K104+K99)-K108)-K107)</f>
        <v/>
      </c>
      <c r="L101" s="24">
        <f>(((L104+L99)-L108)-L107)</f>
        <v/>
      </c>
      <c r="M101" s="24">
        <f>(((M104+M99)-M108)-M107)</f>
        <v/>
      </c>
      <c r="N101" s="24">
        <f>(((N104+N99)-N108)-N107)</f>
        <v/>
      </c>
      <c r="O101" s="24">
        <f>(((O104+O99)-O108)-O107)</f>
        <v/>
      </c>
    </row>
    <row r="102">
      <c r="D102" s="7" t="inlineStr">
        <is>
          <t>법인세</t>
        </is>
      </c>
      <c r="G102" s="8" t="inlineStr">
        <is>
          <t>tax</t>
        </is>
      </c>
      <c r="H102" s="9" t="inlineStr">
        <is>
          <t>원</t>
        </is>
      </c>
      <c r="I102" s="25">
        <f>(MAX(I100,0.0)*I103)</f>
        <v/>
      </c>
      <c r="J102" s="25">
        <f>(MAX(J100,0.0)*J103)</f>
        <v/>
      </c>
      <c r="K102" s="25">
        <f>(MAX(K100,0.0)*K103)</f>
        <v/>
      </c>
      <c r="L102" s="25">
        <f>(MAX(L100,0.0)*L103)</f>
        <v/>
      </c>
      <c r="M102" s="25">
        <f>(MAX(M100,0.0)*M103)</f>
        <v/>
      </c>
      <c r="N102" s="25">
        <f>(MAX(N100,0.0)*N103)</f>
        <v/>
      </c>
      <c r="O102" s="25">
        <f>(MAX(O100,0.0)*O103)</f>
        <v/>
      </c>
    </row>
    <row r="103">
      <c r="E103" s="11" t="inlineStr">
        <is>
          <t>법인세율</t>
        </is>
      </c>
      <c r="G103" s="8" t="inlineStr">
        <is>
          <t>tax_rate</t>
        </is>
      </c>
      <c r="H103" s="9" t="inlineStr">
        <is>
          <t>%</t>
        </is>
      </c>
      <c r="I103" s="27">
        <f>'Assumptions'!I55</f>
        <v/>
      </c>
      <c r="J103" s="27">
        <f>'Assumptions'!J55</f>
        <v/>
      </c>
      <c r="K103" s="27">
        <f>'Assumptions'!K55</f>
        <v/>
      </c>
      <c r="L103" s="27">
        <f>'Assumptions'!L55</f>
        <v/>
      </c>
      <c r="M103" s="27">
        <f>'Assumptions'!M55</f>
        <v/>
      </c>
      <c r="N103" s="27">
        <f>'Assumptions'!N55</f>
        <v/>
      </c>
      <c r="O103" s="27">
        <f>'Assumptions'!O55</f>
        <v/>
      </c>
    </row>
    <row r="104">
      <c r="D104" s="7" t="inlineStr">
        <is>
          <t>세후영업이익</t>
        </is>
      </c>
      <c r="G104" s="8" t="inlineStr">
        <is>
          <t>ebiat</t>
        </is>
      </c>
      <c r="H104" s="9" t="inlineStr">
        <is>
          <t>원</t>
        </is>
      </c>
      <c r="I104" s="25">
        <f>(I100-I102)</f>
        <v/>
      </c>
      <c r="J104" s="25">
        <f>(J100-J102)</f>
        <v/>
      </c>
      <c r="K104" s="25">
        <f>(K100-K102)</f>
        <v/>
      </c>
      <c r="L104" s="25">
        <f>(L100-L102)</f>
        <v/>
      </c>
      <c r="M104" s="25">
        <f>(M100-M102)</f>
        <v/>
      </c>
      <c r="N104" s="25">
        <f>(N100-N102)</f>
        <v/>
      </c>
      <c r="O104" s="25">
        <f>(O100-O102)</f>
        <v/>
      </c>
    </row>
    <row r="105">
      <c r="D105" s="7" t="inlineStr">
        <is>
          <t>운전자본</t>
        </is>
      </c>
      <c r="G105" s="8" t="inlineStr">
        <is>
          <t>nwc</t>
        </is>
      </c>
      <c r="H105" s="9" t="inlineStr">
        <is>
          <t>원</t>
        </is>
      </c>
      <c r="I105" s="25">
        <f>(I6*I106)</f>
        <v/>
      </c>
      <c r="J105" s="25">
        <f>(J6*J106)</f>
        <v/>
      </c>
      <c r="K105" s="25">
        <f>(K6*K106)</f>
        <v/>
      </c>
      <c r="L105" s="25">
        <f>(L6*L106)</f>
        <v/>
      </c>
      <c r="M105" s="25">
        <f>(M6*M106)</f>
        <v/>
      </c>
      <c r="N105" s="25">
        <f>(N6*N106)</f>
        <v/>
      </c>
      <c r="O105" s="25">
        <f>(O6*O106)</f>
        <v/>
      </c>
    </row>
    <row r="106">
      <c r="E106" s="11" t="inlineStr">
        <is>
          <t>운전자본율</t>
        </is>
      </c>
      <c r="G106" s="8" t="inlineStr">
        <is>
          <t>nwc_rate</t>
        </is>
      </c>
      <c r="H106" s="9" t="inlineStr">
        <is>
          <t>%</t>
        </is>
      </c>
      <c r="I106" s="27">
        <f>'Assumptions'!I56</f>
        <v/>
      </c>
      <c r="J106" s="27">
        <f>'Assumptions'!J56</f>
        <v/>
      </c>
      <c r="K106" s="27">
        <f>'Assumptions'!K56</f>
        <v/>
      </c>
      <c r="L106" s="27">
        <f>'Assumptions'!L56</f>
        <v/>
      </c>
      <c r="M106" s="27">
        <f>'Assumptions'!M56</f>
        <v/>
      </c>
      <c r="N106" s="27">
        <f>'Assumptions'!N56</f>
        <v/>
      </c>
      <c r="O106" s="27">
        <f>'Assumptions'!O56</f>
        <v/>
      </c>
    </row>
    <row r="107">
      <c r="D107" s="7" t="inlineStr">
        <is>
          <t>운전자본 증가</t>
        </is>
      </c>
      <c r="G107" s="8" t="inlineStr">
        <is>
          <t>change_nwc</t>
        </is>
      </c>
      <c r="H107" s="9" t="inlineStr">
        <is>
          <t>원</t>
        </is>
      </c>
      <c r="I107" s="25">
        <f>(I105-0)</f>
        <v/>
      </c>
      <c r="J107" s="25">
        <f>(J105-I105)</f>
        <v/>
      </c>
      <c r="K107" s="25">
        <f>(K105-J105)</f>
        <v/>
      </c>
      <c r="L107" s="25">
        <f>(L105-K105)</f>
        <v/>
      </c>
      <c r="M107" s="25">
        <f>(M105-L105)</f>
        <v/>
      </c>
      <c r="N107" s="25">
        <f>(N105-M105)</f>
        <v/>
      </c>
      <c r="O107" s="25">
        <f>(O105-N105)</f>
        <v/>
      </c>
    </row>
    <row r="108">
      <c r="D108" s="7" t="inlineStr">
        <is>
          <t>CapEx</t>
        </is>
      </c>
      <c r="G108" s="8" t="inlineStr">
        <is>
          <t>capex</t>
        </is>
      </c>
      <c r="H108" s="9" t="inlineStr">
        <is>
          <t>원</t>
        </is>
      </c>
      <c r="I108" s="29">
        <f>'Assumptions'!I57</f>
        <v/>
      </c>
      <c r="J108" s="29">
        <f>'Assumptions'!J57</f>
        <v/>
      </c>
      <c r="K108" s="29">
        <f>'Assumptions'!K57</f>
        <v/>
      </c>
      <c r="L108" s="29">
        <f>'Assumptions'!L57</f>
        <v/>
      </c>
      <c r="M108" s="29">
        <f>'Assumptions'!M57</f>
        <v/>
      </c>
      <c r="N108" s="29">
        <f>'Assumptions'!N57</f>
        <v/>
      </c>
      <c r="O108" s="29">
        <f>'Assumptions'!O57</f>
        <v/>
      </c>
    </row>
    <row r="109">
      <c r="B109" s="20" t="n"/>
      <c r="C109" s="21" t="inlineStr">
        <is>
          <t>Valuation</t>
        </is>
      </c>
      <c r="D109" s="20" t="n"/>
      <c r="E109" s="20" t="n"/>
      <c r="F109" s="20" t="n"/>
      <c r="G109" s="22" t="inlineStr">
        <is>
          <t>valuation</t>
        </is>
      </c>
      <c r="H109" s="23" t="inlineStr">
        <is>
          <t>원</t>
        </is>
      </c>
      <c r="I109" s="24">
        <f>I116</f>
        <v/>
      </c>
      <c r="J109" s="24">
        <f>J116</f>
        <v/>
      </c>
      <c r="K109" s="24">
        <f>K116</f>
        <v/>
      </c>
      <c r="L109" s="24">
        <f>L116</f>
        <v/>
      </c>
      <c r="M109" s="24">
        <f>M116</f>
        <v/>
      </c>
      <c r="N109" s="24">
        <f>N116</f>
        <v/>
      </c>
      <c r="O109" s="24">
        <f>O116</f>
        <v/>
      </c>
    </row>
    <row r="110">
      <c r="D110" s="11" t="inlineStr">
        <is>
          <t>WACC</t>
        </is>
      </c>
      <c r="G110" s="8" t="inlineStr">
        <is>
          <t>wacc</t>
        </is>
      </c>
      <c r="H110" s="9" t="inlineStr">
        <is>
          <t>%</t>
        </is>
      </c>
      <c r="I110" s="27">
        <f>'Assumptions'!I58</f>
        <v/>
      </c>
      <c r="J110" s="27">
        <f>'Assumptions'!J58</f>
        <v/>
      </c>
      <c r="K110" s="27">
        <f>'Assumptions'!K58</f>
        <v/>
      </c>
      <c r="L110" s="27">
        <f>'Assumptions'!L58</f>
        <v/>
      </c>
      <c r="M110" s="27">
        <f>'Assumptions'!M58</f>
        <v/>
      </c>
      <c r="N110" s="27">
        <f>'Assumptions'!N58</f>
        <v/>
      </c>
      <c r="O110" s="27">
        <f>'Assumptions'!O58</f>
        <v/>
      </c>
    </row>
    <row r="111">
      <c r="D111" s="11" t="inlineStr">
        <is>
          <t>Terminal Growth</t>
        </is>
      </c>
      <c r="G111" s="8" t="inlineStr">
        <is>
          <t>terminal_growth</t>
        </is>
      </c>
      <c r="H111" s="9" t="inlineStr">
        <is>
          <t>%</t>
        </is>
      </c>
      <c r="I111" s="27">
        <f>'Assumptions'!I59</f>
        <v/>
      </c>
      <c r="J111" s="27">
        <f>'Assumptions'!J59</f>
        <v/>
      </c>
      <c r="K111" s="27">
        <f>'Assumptions'!K59</f>
        <v/>
      </c>
      <c r="L111" s="27">
        <f>'Assumptions'!L59</f>
        <v/>
      </c>
      <c r="M111" s="27">
        <f>'Assumptions'!M59</f>
        <v/>
      </c>
      <c r="N111" s="27">
        <f>'Assumptions'!N59</f>
        <v/>
      </c>
      <c r="O111" s="27">
        <f>'Assumptions'!O59</f>
        <v/>
      </c>
    </row>
    <row r="112">
      <c r="D112" s="7" t="inlineStr">
        <is>
          <t>Discount Factor</t>
        </is>
      </c>
      <c r="G112" s="8" t="inlineStr">
        <is>
          <t>discount_factor</t>
        </is>
      </c>
      <c r="H112" s="9" t="inlineStr">
        <is>
          <t>x</t>
        </is>
      </c>
      <c r="I112" s="30">
        <f>'Assumptions'!I60</f>
        <v/>
      </c>
      <c r="J112" s="30">
        <f>'Assumptions'!J60</f>
        <v/>
      </c>
      <c r="K112" s="30">
        <f>'Assumptions'!K60</f>
        <v/>
      </c>
      <c r="L112" s="30">
        <f>'Assumptions'!L60</f>
        <v/>
      </c>
      <c r="M112" s="30">
        <f>'Assumptions'!M60</f>
        <v/>
      </c>
      <c r="N112" s="30">
        <f>'Assumptions'!N60</f>
        <v/>
      </c>
      <c r="O112" s="30">
        <f>'Assumptions'!O60</f>
        <v/>
      </c>
    </row>
    <row r="113">
      <c r="D113" s="7" t="inlineStr">
        <is>
          <t>PV of FCFF</t>
        </is>
      </c>
      <c r="G113" s="8" t="inlineStr">
        <is>
          <t>pv_fcff</t>
        </is>
      </c>
      <c r="H113" s="9" t="inlineStr">
        <is>
          <t>원</t>
        </is>
      </c>
      <c r="I113" s="25">
        <f>(I101*I112)</f>
        <v/>
      </c>
      <c r="J113" s="25">
        <f>(J101*J112)</f>
        <v/>
      </c>
      <c r="K113" s="25">
        <f>(K101*K112)</f>
        <v/>
      </c>
      <c r="L113" s="25">
        <f>(L101*L112)</f>
        <v/>
      </c>
      <c r="M113" s="25">
        <f>(M101*M112)</f>
        <v/>
      </c>
      <c r="N113" s="25">
        <f>(N101*N112)</f>
        <v/>
      </c>
      <c r="O113" s="25">
        <f>(O101*O112)</f>
        <v/>
      </c>
    </row>
    <row r="114">
      <c r="D114" s="7" t="inlineStr">
        <is>
          <t>Terminal Value</t>
        </is>
      </c>
      <c r="G114" s="8" t="inlineStr">
        <is>
          <t>terminal_value</t>
        </is>
      </c>
      <c r="H114" s="9" t="inlineStr">
        <is>
          <t>원</t>
        </is>
      </c>
      <c r="I114" s="25">
        <f>((I101*(1.0+I111))/(I110-I111))</f>
        <v/>
      </c>
      <c r="J114" s="25">
        <f>((J101*(1.0+J111))/(J110-J111))</f>
        <v/>
      </c>
      <c r="K114" s="25">
        <f>((K101*(1.0+K111))/(K110-K111))</f>
        <v/>
      </c>
      <c r="L114" s="25">
        <f>((L101*(1.0+L111))/(L110-L111))</f>
        <v/>
      </c>
      <c r="M114" s="25">
        <f>((M101*(1.0+M111))/(M110-M111))</f>
        <v/>
      </c>
      <c r="N114" s="25">
        <f>((N101*(1.0+N111))/(N110-N111))</f>
        <v/>
      </c>
      <c r="O114" s="25">
        <f>((O101*(1.0+O111))/(O110-O111))</f>
        <v/>
      </c>
    </row>
    <row r="115">
      <c r="D115" s="7" t="inlineStr">
        <is>
          <t>PV of Terminal Value</t>
        </is>
      </c>
      <c r="G115" s="8" t="inlineStr">
        <is>
          <t>pv_terminal_value</t>
        </is>
      </c>
      <c r="H115" s="9" t="inlineStr">
        <is>
          <t>원</t>
        </is>
      </c>
      <c r="I115" s="25">
        <f>(I114*I112)</f>
        <v/>
      </c>
      <c r="J115" s="25">
        <f>(J114*J112)</f>
        <v/>
      </c>
      <c r="K115" s="25">
        <f>(K114*K112)</f>
        <v/>
      </c>
      <c r="L115" s="25">
        <f>(L114*L112)</f>
        <v/>
      </c>
      <c r="M115" s="25">
        <f>(M114*M112)</f>
        <v/>
      </c>
      <c r="N115" s="25">
        <f>(N114*N112)</f>
        <v/>
      </c>
      <c r="O115" s="25">
        <f>(O114*O112)</f>
        <v/>
      </c>
    </row>
    <row r="116">
      <c r="D116" s="7" t="inlineStr">
        <is>
          <t>Enterprise Value</t>
        </is>
      </c>
      <c r="G116" s="8" t="inlineStr">
        <is>
          <t>enterprise_value</t>
        </is>
      </c>
      <c r="H116" s="9" t="inlineStr">
        <is>
          <t>원</t>
        </is>
      </c>
      <c r="I116" s="25">
        <f>(I113+I115)</f>
        <v/>
      </c>
      <c r="J116" s="25">
        <f>(J113+J115)</f>
        <v/>
      </c>
      <c r="K116" s="25">
        <f>(K113+K115)</f>
        <v/>
      </c>
      <c r="L116" s="25">
        <f>(L113+L115)</f>
        <v/>
      </c>
      <c r="M116" s="25">
        <f>(M113+M115)</f>
        <v/>
      </c>
      <c r="N116" s="25">
        <f>(N113+N115)</f>
        <v/>
      </c>
      <c r="O116" s="25">
        <f>(O113+O115)</f>
        <v/>
      </c>
    </row>
    <row r="117">
      <c r="D117" s="7" t="inlineStr">
        <is>
          <t>순차입금 / 조정</t>
        </is>
      </c>
      <c r="G117" s="8" t="inlineStr">
        <is>
          <t>net_debt</t>
        </is>
      </c>
      <c r="H117" s="9" t="inlineStr">
        <is>
          <t>원</t>
        </is>
      </c>
      <c r="I117" s="29">
        <f>'Assumptions'!I61</f>
        <v/>
      </c>
      <c r="J117" s="29">
        <f>'Assumptions'!J61</f>
        <v/>
      </c>
      <c r="K117" s="29">
        <f>'Assumptions'!K61</f>
        <v/>
      </c>
      <c r="L117" s="29">
        <f>'Assumptions'!L61</f>
        <v/>
      </c>
      <c r="M117" s="29">
        <f>'Assumptions'!M61</f>
        <v/>
      </c>
      <c r="N117" s="29">
        <f>'Assumptions'!N61</f>
        <v/>
      </c>
      <c r="O117" s="29">
        <f>'Assumptions'!O61</f>
        <v/>
      </c>
    </row>
    <row r="118">
      <c r="D118" s="7" t="inlineStr">
        <is>
          <t>Equity Value</t>
        </is>
      </c>
      <c r="G118" s="8" t="inlineStr">
        <is>
          <t>equity_value</t>
        </is>
      </c>
      <c r="H118" s="9" t="inlineStr">
        <is>
          <t>원</t>
        </is>
      </c>
      <c r="I118" s="25">
        <f>(I116-I117)</f>
        <v/>
      </c>
      <c r="J118" s="25">
        <f>(J116-J117)</f>
        <v/>
      </c>
      <c r="K118" s="25">
        <f>(K116-K117)</f>
        <v/>
      </c>
      <c r="L118" s="25">
        <f>(L116-L117)</f>
        <v/>
      </c>
      <c r="M118" s="25">
        <f>(M116-M117)</f>
        <v/>
      </c>
      <c r="N118" s="25">
        <f>(N116-N117)</f>
        <v/>
      </c>
      <c r="O118" s="25">
        <f>(O116-O117)</f>
        <v/>
      </c>
    </row>
    <row r="119">
      <c r="D119" s="7" t="inlineStr">
        <is>
          <t>주식수</t>
        </is>
      </c>
      <c r="G119" s="8" t="inlineStr">
        <is>
          <t>shares_outstanding</t>
        </is>
      </c>
      <c r="H119" s="9" t="inlineStr">
        <is>
          <t>주</t>
        </is>
      </c>
      <c r="I119" s="26">
        <f>'Assumptions'!I62</f>
        <v/>
      </c>
      <c r="J119" s="26">
        <f>'Assumptions'!J62</f>
        <v/>
      </c>
      <c r="K119" s="26">
        <f>'Assumptions'!K62</f>
        <v/>
      </c>
      <c r="L119" s="26">
        <f>'Assumptions'!L62</f>
        <v/>
      </c>
      <c r="M119" s="26">
        <f>'Assumptions'!M62</f>
        <v/>
      </c>
      <c r="N119" s="26">
        <f>'Assumptions'!N62</f>
        <v/>
      </c>
      <c r="O119" s="26">
        <f>'Assumptions'!O62</f>
        <v/>
      </c>
    </row>
    <row r="120">
      <c r="D120" s="7" t="inlineStr">
        <is>
          <t>주당가치</t>
        </is>
      </c>
      <c r="G120" s="8" t="inlineStr">
        <is>
          <t>value_per_share</t>
        </is>
      </c>
      <c r="H120" s="9" t="inlineStr">
        <is>
          <t>원</t>
        </is>
      </c>
      <c r="I120" s="25">
        <f>(I118/I119)</f>
        <v/>
      </c>
      <c r="J120" s="25">
        <f>(J118/J119)</f>
        <v/>
      </c>
      <c r="K120" s="25">
        <f>(K118/K119)</f>
        <v/>
      </c>
      <c r="L120" s="25">
        <f>(L118/L119)</f>
        <v/>
      </c>
      <c r="M120" s="25">
        <f>(M118/M119)</f>
        <v/>
      </c>
      <c r="N120" s="25">
        <f>(N118/N119)</f>
        <v/>
      </c>
      <c r="O120" s="25">
        <f>(O118/O119)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O28"/>
  <sheetViews>
    <sheetView showGridLines="0" zoomScale="100" workbookViewId="0">
      <pane xSplit="8" ySplit="4" topLeftCell="I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71" customWidth="1" min="1" max="1"/>
    <col width="30" customWidth="1" min="2" max="2"/>
    <col width="24" customWidth="1" min="3" max="3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16.5" customHeight="1">
      <c r="B1" s="1" t="inlineStr">
        <is>
          <t>Control</t>
        </is>
      </c>
    </row>
    <row r="3">
      <c r="I3" s="5" t="inlineStr">
        <is>
          <t>Historical</t>
        </is>
      </c>
      <c r="J3" s="5" t="inlineStr">
        <is>
          <t>Forecast</t>
        </is>
      </c>
    </row>
    <row r="4">
      <c r="B4" s="2" t="inlineStr">
        <is>
          <t>Output</t>
        </is>
      </c>
      <c r="C4" s="2" t="inlineStr">
        <is>
          <t>ID</t>
        </is>
      </c>
      <c r="I4" s="6" t="inlineStr">
        <is>
          <t>2023</t>
        </is>
      </c>
      <c r="J4" s="6" t="inlineStr">
        <is>
          <t>2024</t>
        </is>
      </c>
      <c r="K4" s="6" t="inlineStr">
        <is>
          <t>2025</t>
        </is>
      </c>
      <c r="L4" s="6" t="inlineStr">
        <is>
          <t>2026</t>
        </is>
      </c>
      <c r="M4" s="6" t="inlineStr">
        <is>
          <t>2027</t>
        </is>
      </c>
      <c r="N4" s="6" t="inlineStr">
        <is>
          <t>2028</t>
        </is>
      </c>
      <c r="O4" s="6" t="inlineStr">
        <is>
          <t>2029</t>
        </is>
      </c>
    </row>
    <row r="5">
      <c r="B5" s="31" t="inlineStr">
        <is>
          <t>KCar Enterprise Value</t>
        </is>
      </c>
      <c r="C5" s="8" t="inlineStr">
        <is>
          <t>root</t>
        </is>
      </c>
      <c r="I5" s="29">
        <f>'Model'!I5</f>
        <v/>
      </c>
      <c r="J5" s="29">
        <f>'Model'!J5</f>
        <v/>
      </c>
      <c r="K5" s="29">
        <f>'Model'!K5</f>
        <v/>
      </c>
      <c r="L5" s="29">
        <f>'Model'!L5</f>
        <v/>
      </c>
      <c r="M5" s="29">
        <f>'Model'!M5</f>
        <v/>
      </c>
      <c r="N5" s="29">
        <f>'Model'!N5</f>
        <v/>
      </c>
      <c r="O5" s="29">
        <f>'Model'!O5</f>
        <v/>
      </c>
    </row>
    <row r="6">
      <c r="B6" s="4" t="inlineStr">
        <is>
          <t>매출 합계</t>
        </is>
      </c>
      <c r="C6" s="8" t="inlineStr">
        <is>
          <t>rev</t>
        </is>
      </c>
      <c r="I6" s="29">
        <f>'Model'!I6</f>
        <v/>
      </c>
      <c r="J6" s="29">
        <f>'Model'!J6</f>
        <v/>
      </c>
      <c r="K6" s="29">
        <f>'Model'!K6</f>
        <v/>
      </c>
      <c r="L6" s="29">
        <f>'Model'!L6</f>
        <v/>
      </c>
      <c r="M6" s="29">
        <f>'Model'!M6</f>
        <v/>
      </c>
      <c r="N6" s="29">
        <f>'Model'!N6</f>
        <v/>
      </c>
      <c r="O6" s="29">
        <f>'Model'!O6</f>
        <v/>
      </c>
    </row>
    <row r="7">
      <c r="B7" s="4" t="inlineStr">
        <is>
          <t>중고차 판매</t>
        </is>
      </c>
      <c r="C7" s="8" t="inlineStr">
        <is>
          <t>used_car_sales</t>
        </is>
      </c>
      <c r="I7" s="29">
        <f>'Model'!I7</f>
        <v/>
      </c>
      <c r="J7" s="29">
        <f>'Model'!J7</f>
        <v/>
      </c>
      <c r="K7" s="29">
        <f>'Model'!K7</f>
        <v/>
      </c>
      <c r="L7" s="29">
        <f>'Model'!L7</f>
        <v/>
      </c>
      <c r="M7" s="29">
        <f>'Model'!M7</f>
        <v/>
      </c>
      <c r="N7" s="29">
        <f>'Model'!N7</f>
        <v/>
      </c>
      <c r="O7" s="29">
        <f>'Model'!O7</f>
        <v/>
      </c>
    </row>
    <row r="8">
      <c r="B8" s="4" t="inlineStr">
        <is>
          <t>이커머스 중고차 판매</t>
        </is>
      </c>
      <c r="C8" s="8" t="inlineStr">
        <is>
          <t>ecommerce_sales</t>
        </is>
      </c>
      <c r="I8" s="29">
        <f>'Model'!I8</f>
        <v/>
      </c>
      <c r="J8" s="29">
        <f>'Model'!J8</f>
        <v/>
      </c>
      <c r="K8" s="29">
        <f>'Model'!K8</f>
        <v/>
      </c>
      <c r="L8" s="29">
        <f>'Model'!L8</f>
        <v/>
      </c>
      <c r="M8" s="29">
        <f>'Model'!M8</f>
        <v/>
      </c>
      <c r="N8" s="29">
        <f>'Model'!N8</f>
        <v/>
      </c>
      <c r="O8" s="29">
        <f>'Model'!O8</f>
        <v/>
      </c>
    </row>
    <row r="9">
      <c r="B9" s="4" t="inlineStr">
        <is>
          <t>지점내방 중고차 판매</t>
        </is>
      </c>
      <c r="C9" s="8" t="inlineStr">
        <is>
          <t>branch_sales</t>
        </is>
      </c>
      <c r="I9" s="29">
        <f>'Model'!I44</f>
        <v/>
      </c>
      <c r="J9" s="29">
        <f>'Model'!J44</f>
        <v/>
      </c>
      <c r="K9" s="29">
        <f>'Model'!K44</f>
        <v/>
      </c>
      <c r="L9" s="29">
        <f>'Model'!L44</f>
        <v/>
      </c>
      <c r="M9" s="29">
        <f>'Model'!M44</f>
        <v/>
      </c>
      <c r="N9" s="29">
        <f>'Model'!N44</f>
        <v/>
      </c>
      <c r="O9" s="29">
        <f>'Model'!O44</f>
        <v/>
      </c>
    </row>
    <row r="10">
      <c r="B10" s="4" t="inlineStr">
        <is>
          <t>비용 합계</t>
        </is>
      </c>
      <c r="C10" s="8" t="inlineStr">
        <is>
          <t>total_cost</t>
        </is>
      </c>
      <c r="I10" s="29">
        <f>'Model'!I86</f>
        <v/>
      </c>
      <c r="J10" s="29">
        <f>'Model'!J86</f>
        <v/>
      </c>
      <c r="K10" s="29">
        <f>'Model'!K86</f>
        <v/>
      </c>
      <c r="L10" s="29">
        <f>'Model'!L86</f>
        <v/>
      </c>
      <c r="M10" s="29">
        <f>'Model'!M86</f>
        <v/>
      </c>
      <c r="N10" s="29">
        <f>'Model'!N86</f>
        <v/>
      </c>
      <c r="O10" s="29">
        <f>'Model'!O86</f>
        <v/>
      </c>
    </row>
    <row r="11">
      <c r="B11" s="4" t="inlineStr">
        <is>
          <t>영업이익</t>
        </is>
      </c>
      <c r="C11" s="8" t="inlineStr">
        <is>
          <t>op_profit</t>
        </is>
      </c>
      <c r="I11" s="29">
        <f>'Model'!I100</f>
        <v/>
      </c>
      <c r="J11" s="29">
        <f>'Model'!J100</f>
        <v/>
      </c>
      <c r="K11" s="29">
        <f>'Model'!K100</f>
        <v/>
      </c>
      <c r="L11" s="29">
        <f>'Model'!L100</f>
        <v/>
      </c>
      <c r="M11" s="29">
        <f>'Model'!M100</f>
        <v/>
      </c>
      <c r="N11" s="29">
        <f>'Model'!N100</f>
        <v/>
      </c>
      <c r="O11" s="29">
        <f>'Model'!O100</f>
        <v/>
      </c>
    </row>
    <row r="12">
      <c r="B12" s="4" t="inlineStr">
        <is>
          <t>FCFF</t>
        </is>
      </c>
      <c r="C12" s="8" t="inlineStr">
        <is>
          <t>fcff</t>
        </is>
      </c>
      <c r="I12" s="29">
        <f>'Model'!I101</f>
        <v/>
      </c>
      <c r="J12" s="29">
        <f>'Model'!J101</f>
        <v/>
      </c>
      <c r="K12" s="29">
        <f>'Model'!K101</f>
        <v/>
      </c>
      <c r="L12" s="29">
        <f>'Model'!L101</f>
        <v/>
      </c>
      <c r="M12" s="29">
        <f>'Model'!M101</f>
        <v/>
      </c>
      <c r="N12" s="29">
        <f>'Model'!N101</f>
        <v/>
      </c>
      <c r="O12" s="29">
        <f>'Model'!O101</f>
        <v/>
      </c>
    </row>
    <row r="13">
      <c r="B13" s="4" t="inlineStr">
        <is>
          <t>Enterprise Value</t>
        </is>
      </c>
      <c r="C13" s="8" t="inlineStr">
        <is>
          <t>enterprise_value</t>
        </is>
      </c>
      <c r="I13" s="29">
        <f>'Model'!I116</f>
        <v/>
      </c>
      <c r="J13" s="29">
        <f>'Model'!J116</f>
        <v/>
      </c>
      <c r="K13" s="29">
        <f>'Model'!K116</f>
        <v/>
      </c>
      <c r="L13" s="29">
        <f>'Model'!L116</f>
        <v/>
      </c>
      <c r="M13" s="29">
        <f>'Model'!M116</f>
        <v/>
      </c>
      <c r="N13" s="29">
        <f>'Model'!N116</f>
        <v/>
      </c>
      <c r="O13" s="29">
        <f>'Model'!O116</f>
        <v/>
      </c>
    </row>
    <row r="14">
      <c r="B14" s="4" t="inlineStr">
        <is>
          <t>Equity Value</t>
        </is>
      </c>
      <c r="C14" s="8" t="inlineStr">
        <is>
          <t>equity_value</t>
        </is>
      </c>
      <c r="I14" s="29">
        <f>'Model'!I118</f>
        <v/>
      </c>
      <c r="J14" s="29">
        <f>'Model'!J118</f>
        <v/>
      </c>
      <c r="K14" s="29">
        <f>'Model'!K118</f>
        <v/>
      </c>
      <c r="L14" s="29">
        <f>'Model'!L118</f>
        <v/>
      </c>
      <c r="M14" s="29">
        <f>'Model'!M118</f>
        <v/>
      </c>
      <c r="N14" s="29">
        <f>'Model'!N118</f>
        <v/>
      </c>
      <c r="O14" s="29">
        <f>'Model'!O118</f>
        <v/>
      </c>
    </row>
    <row r="15">
      <c r="B15" s="4" t="inlineStr">
        <is>
          <t>주당가치</t>
        </is>
      </c>
      <c r="C15" s="8" t="inlineStr">
        <is>
          <t>value_per_share</t>
        </is>
      </c>
      <c r="I15" s="29">
        <f>'Model'!I120</f>
        <v/>
      </c>
      <c r="J15" s="29">
        <f>'Model'!J120</f>
        <v/>
      </c>
      <c r="K15" s="29">
        <f>'Model'!K120</f>
        <v/>
      </c>
      <c r="L15" s="29">
        <f>'Model'!L120</f>
        <v/>
      </c>
      <c r="M15" s="29">
        <f>'Model'!M120</f>
        <v/>
      </c>
      <c r="N15" s="29">
        <f>'Model'!N120</f>
        <v/>
      </c>
      <c r="O15" s="29">
        <f>'Model'!O120</f>
        <v/>
      </c>
    </row>
    <row r="16">
      <c r="B16" s="4" t="inlineStr">
        <is>
          <t>Valuation</t>
        </is>
      </c>
      <c r="C16" s="8" t="inlineStr">
        <is>
          <t>valuation</t>
        </is>
      </c>
      <c r="I16" s="29">
        <f>'Model'!I109</f>
        <v/>
      </c>
      <c r="J16" s="29">
        <f>'Model'!J109</f>
        <v/>
      </c>
      <c r="K16" s="29">
        <f>'Model'!K109</f>
        <v/>
      </c>
      <c r="L16" s="29">
        <f>'Model'!L109</f>
        <v/>
      </c>
      <c r="M16" s="29">
        <f>'Model'!M109</f>
        <v/>
      </c>
      <c r="N16" s="29">
        <f>'Model'!N109</f>
        <v/>
      </c>
      <c r="O16" s="29">
        <f>'Model'!O109</f>
        <v/>
      </c>
    </row>
    <row r="17">
      <c r="B17" s="4" t="inlineStr">
        <is>
          <t>이커머스 SUV</t>
        </is>
      </c>
      <c r="C17" s="8" t="inlineStr">
        <is>
          <t>ec_suv_rev</t>
        </is>
      </c>
      <c r="I17" s="29">
        <f>'Model'!I9</f>
        <v/>
      </c>
      <c r="J17" s="29">
        <f>'Model'!J9</f>
        <v/>
      </c>
      <c r="K17" s="29">
        <f>'Model'!K9</f>
        <v/>
      </c>
      <c r="L17" s="29">
        <f>'Model'!L9</f>
        <v/>
      </c>
      <c r="M17" s="29">
        <f>'Model'!M9</f>
        <v/>
      </c>
      <c r="N17" s="29">
        <f>'Model'!N9</f>
        <v/>
      </c>
      <c r="O17" s="29">
        <f>'Model'!O9</f>
        <v/>
      </c>
    </row>
    <row r="18">
      <c r="B18" s="4" t="inlineStr">
        <is>
          <t>이커머스 SUV 판매대수</t>
        </is>
      </c>
      <c r="C18" s="8" t="inlineStr">
        <is>
          <t>ec_suv_volume</t>
        </is>
      </c>
      <c r="I18" s="26">
        <f>'Model'!I12</f>
        <v/>
      </c>
      <c r="J18" s="26">
        <f>'Model'!J12</f>
        <v/>
      </c>
      <c r="K18" s="26">
        <f>'Model'!K12</f>
        <v/>
      </c>
      <c r="L18" s="26">
        <f>'Model'!L12</f>
        <v/>
      </c>
      <c r="M18" s="26">
        <f>'Model'!M12</f>
        <v/>
      </c>
      <c r="N18" s="26">
        <f>'Model'!N12</f>
        <v/>
      </c>
      <c r="O18" s="26">
        <f>'Model'!O12</f>
        <v/>
      </c>
    </row>
    <row r="19">
      <c r="B19" s="4" t="inlineStr">
        <is>
          <t>이커머스 대형</t>
        </is>
      </c>
      <c r="C19" s="8" t="inlineStr">
        <is>
          <t>ec_large_rev</t>
        </is>
      </c>
      <c r="I19" s="29">
        <f>'Model'!I14</f>
        <v/>
      </c>
      <c r="J19" s="29">
        <f>'Model'!J14</f>
        <v/>
      </c>
      <c r="K19" s="29">
        <f>'Model'!K14</f>
        <v/>
      </c>
      <c r="L19" s="29">
        <f>'Model'!L14</f>
        <v/>
      </c>
      <c r="M19" s="29">
        <f>'Model'!M14</f>
        <v/>
      </c>
      <c r="N19" s="29">
        <f>'Model'!N14</f>
        <v/>
      </c>
      <c r="O19" s="29">
        <f>'Model'!O14</f>
        <v/>
      </c>
    </row>
    <row r="20">
      <c r="B20" s="4" t="inlineStr">
        <is>
          <t>이커머스 대형 판매대수</t>
        </is>
      </c>
      <c r="C20" s="8" t="inlineStr">
        <is>
          <t>ec_large_volume</t>
        </is>
      </c>
      <c r="I20" s="26">
        <f>'Model'!I17</f>
        <v/>
      </c>
      <c r="J20" s="26">
        <f>'Model'!J17</f>
        <v/>
      </c>
      <c r="K20" s="26">
        <f>'Model'!K17</f>
        <v/>
      </c>
      <c r="L20" s="26">
        <f>'Model'!L17</f>
        <v/>
      </c>
      <c r="M20" s="26">
        <f>'Model'!M17</f>
        <v/>
      </c>
      <c r="N20" s="26">
        <f>'Model'!N17</f>
        <v/>
      </c>
      <c r="O20" s="26">
        <f>'Model'!O17</f>
        <v/>
      </c>
    </row>
    <row r="21">
      <c r="B21" s="4" t="inlineStr">
        <is>
          <t>이커머스 중형</t>
        </is>
      </c>
      <c r="C21" s="8" t="inlineStr">
        <is>
          <t>ec_midsize_rev</t>
        </is>
      </c>
      <c r="I21" s="29">
        <f>'Model'!I19</f>
        <v/>
      </c>
      <c r="J21" s="29">
        <f>'Model'!J19</f>
        <v/>
      </c>
      <c r="K21" s="29">
        <f>'Model'!K19</f>
        <v/>
      </c>
      <c r="L21" s="29">
        <f>'Model'!L19</f>
        <v/>
      </c>
      <c r="M21" s="29">
        <f>'Model'!M19</f>
        <v/>
      </c>
      <c r="N21" s="29">
        <f>'Model'!N19</f>
        <v/>
      </c>
      <c r="O21" s="29">
        <f>'Model'!O19</f>
        <v/>
      </c>
    </row>
    <row r="22">
      <c r="B22" s="4" t="inlineStr">
        <is>
          <t>이커머스 중형 판매대수</t>
        </is>
      </c>
      <c r="C22" s="8" t="inlineStr">
        <is>
          <t>ec_midsize_volume</t>
        </is>
      </c>
      <c r="I22" s="26">
        <f>'Model'!I22</f>
        <v/>
      </c>
      <c r="J22" s="26">
        <f>'Model'!J22</f>
        <v/>
      </c>
      <c r="K22" s="26">
        <f>'Model'!K22</f>
        <v/>
      </c>
      <c r="L22" s="26">
        <f>'Model'!L22</f>
        <v/>
      </c>
      <c r="M22" s="26">
        <f>'Model'!M22</f>
        <v/>
      </c>
      <c r="N22" s="26">
        <f>'Model'!N22</f>
        <v/>
      </c>
      <c r="O22" s="26">
        <f>'Model'!O22</f>
        <v/>
      </c>
    </row>
    <row r="23">
      <c r="B23" s="4" t="inlineStr">
        <is>
          <t>이커머스 준중형</t>
        </is>
      </c>
      <c r="C23" s="8" t="inlineStr">
        <is>
          <t>ec_compact_rev</t>
        </is>
      </c>
      <c r="I23" s="29">
        <f>'Model'!I24</f>
        <v/>
      </c>
      <c r="J23" s="29">
        <f>'Model'!J24</f>
        <v/>
      </c>
      <c r="K23" s="29">
        <f>'Model'!K24</f>
        <v/>
      </c>
      <c r="L23" s="29">
        <f>'Model'!L24</f>
        <v/>
      </c>
      <c r="M23" s="29">
        <f>'Model'!M24</f>
        <v/>
      </c>
      <c r="N23" s="29">
        <f>'Model'!N24</f>
        <v/>
      </c>
      <c r="O23" s="29">
        <f>'Model'!O24</f>
        <v/>
      </c>
    </row>
    <row r="24">
      <c r="B24" s="4" t="inlineStr">
        <is>
          <t>이커머스 준중형 판매대수</t>
        </is>
      </c>
      <c r="C24" s="8" t="inlineStr">
        <is>
          <t>ec_compact_volume</t>
        </is>
      </c>
      <c r="I24" s="26">
        <f>'Model'!I27</f>
        <v/>
      </c>
      <c r="J24" s="26">
        <f>'Model'!J27</f>
        <v/>
      </c>
      <c r="K24" s="26">
        <f>'Model'!K27</f>
        <v/>
      </c>
      <c r="L24" s="26">
        <f>'Model'!L27</f>
        <v/>
      </c>
      <c r="M24" s="26">
        <f>'Model'!M27</f>
        <v/>
      </c>
      <c r="N24" s="26">
        <f>'Model'!N27</f>
        <v/>
      </c>
      <c r="O24" s="26">
        <f>'Model'!O27</f>
        <v/>
      </c>
    </row>
    <row r="25">
      <c r="B25" s="4" t="inlineStr">
        <is>
          <t>이커머스 소형</t>
        </is>
      </c>
      <c r="C25" s="8" t="inlineStr">
        <is>
          <t>ec_small_rev</t>
        </is>
      </c>
      <c r="I25" s="29">
        <f>'Model'!I29</f>
        <v/>
      </c>
      <c r="J25" s="29">
        <f>'Model'!J29</f>
        <v/>
      </c>
      <c r="K25" s="29">
        <f>'Model'!K29</f>
        <v/>
      </c>
      <c r="L25" s="29">
        <f>'Model'!L29</f>
        <v/>
      </c>
      <c r="M25" s="29">
        <f>'Model'!M29</f>
        <v/>
      </c>
      <c r="N25" s="29">
        <f>'Model'!N29</f>
        <v/>
      </c>
      <c r="O25" s="29">
        <f>'Model'!O29</f>
        <v/>
      </c>
    </row>
    <row r="26">
      <c r="B26" s="4" t="inlineStr">
        <is>
          <t>이커머스 소형 판매대수</t>
        </is>
      </c>
      <c r="C26" s="8" t="inlineStr">
        <is>
          <t>ec_small_volume</t>
        </is>
      </c>
      <c r="I26" s="26">
        <f>'Model'!I32</f>
        <v/>
      </c>
      <c r="J26" s="26">
        <f>'Model'!J32</f>
        <v/>
      </c>
      <c r="K26" s="26">
        <f>'Model'!K32</f>
        <v/>
      </c>
      <c r="L26" s="26">
        <f>'Model'!L32</f>
        <v/>
      </c>
      <c r="M26" s="26">
        <f>'Model'!M32</f>
        <v/>
      </c>
      <c r="N26" s="26">
        <f>'Model'!N32</f>
        <v/>
      </c>
      <c r="O26" s="26">
        <f>'Model'!O32</f>
        <v/>
      </c>
    </row>
    <row r="27">
      <c r="B27" s="4" t="inlineStr">
        <is>
          <t>이커머스 화물차</t>
        </is>
      </c>
      <c r="C27" s="8" t="inlineStr">
        <is>
          <t>ec_truck_rev</t>
        </is>
      </c>
      <c r="I27" s="29">
        <f>'Model'!I34</f>
        <v/>
      </c>
      <c r="J27" s="29">
        <f>'Model'!J34</f>
        <v/>
      </c>
      <c r="K27" s="29">
        <f>'Model'!K34</f>
        <v/>
      </c>
      <c r="L27" s="29">
        <f>'Model'!L34</f>
        <v/>
      </c>
      <c r="M27" s="29">
        <f>'Model'!M34</f>
        <v/>
      </c>
      <c r="N27" s="29">
        <f>'Model'!N34</f>
        <v/>
      </c>
      <c r="O27" s="29">
        <f>'Model'!O34</f>
        <v/>
      </c>
    </row>
    <row r="28">
      <c r="B28" s="4" t="inlineStr">
        <is>
          <t>이커머스 화물차 판매대수</t>
        </is>
      </c>
      <c r="C28" s="8" t="inlineStr">
        <is>
          <t>ec_truck_volume</t>
        </is>
      </c>
      <c r="I28" s="26">
        <f>'Model'!I37</f>
        <v/>
      </c>
      <c r="J28" s="26">
        <f>'Model'!J37</f>
        <v/>
      </c>
      <c r="K28" s="26">
        <f>'Model'!K37</f>
        <v/>
      </c>
      <c r="L28" s="26">
        <f>'Model'!L37</f>
        <v/>
      </c>
      <c r="M28" s="26">
        <f>'Model'!M37</f>
        <v/>
      </c>
      <c r="N28" s="26">
        <f>'Model'!N37</f>
        <v/>
      </c>
      <c r="O28" s="26">
        <f>'Model'!O37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H815"/>
  <sheetViews>
    <sheetView showGridLines="0" zoomScale="10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71" customWidth="1" min="1" max="1"/>
    <col width="14" customWidth="1" min="2" max="2"/>
    <col width="24" customWidth="1" min="3" max="3"/>
    <col width="30" customWidth="1" min="4" max="4"/>
    <col width="10" customWidth="1" min="5" max="5"/>
    <col width="10" customWidth="1" min="6" max="6"/>
    <col width="60" customWidth="1" min="7" max="7"/>
    <col width="16" customWidth="1" min="8" max="8"/>
  </cols>
  <sheetData>
    <row r="1" ht="16.5" customHeight="1">
      <c r="B1" s="1" t="inlineStr">
        <is>
          <t>Formula Audit</t>
        </is>
      </c>
    </row>
    <row r="3">
      <c r="B3" s="2" t="inlineStr">
        <is>
          <t>Sheet</t>
        </is>
      </c>
      <c r="C3" s="2" t="inlineStr">
        <is>
          <t>ID</t>
        </is>
      </c>
      <c r="D3" s="2" t="inlineStr">
        <is>
          <t>Label</t>
        </is>
      </c>
      <c r="E3" s="2" t="inlineStr">
        <is>
          <t>Year</t>
        </is>
      </c>
      <c r="F3" s="2" t="inlineStr">
        <is>
          <t>Cell</t>
        </is>
      </c>
      <c r="G3" s="2" t="inlineStr">
        <is>
          <t>Formula</t>
        </is>
      </c>
      <c r="H3" s="2" t="inlineStr">
        <is>
          <t>Type</t>
        </is>
      </c>
    </row>
    <row r="4">
      <c r="B4" s="4" t="inlineStr">
        <is>
          <t>Model</t>
        </is>
      </c>
      <c r="C4" s="8" t="inlineStr">
        <is>
          <t>root</t>
        </is>
      </c>
      <c r="D4" s="4" t="inlineStr">
        <is>
          <t>KCar Enterprise Value</t>
        </is>
      </c>
      <c r="E4" s="4" t="inlineStr">
        <is>
          <t>2023</t>
        </is>
      </c>
      <c r="F4" s="8" t="inlineStr">
        <is>
          <t>I5</t>
        </is>
      </c>
      <c r="G4" s="4">
        <f>I116</f>
        <v/>
      </c>
      <c r="H4" s="4" t="inlineStr">
        <is>
          <t>calculation</t>
        </is>
      </c>
    </row>
    <row r="5">
      <c r="B5" s="4" t="inlineStr">
        <is>
          <t>Model</t>
        </is>
      </c>
      <c r="C5" s="8" t="inlineStr">
        <is>
          <t>root</t>
        </is>
      </c>
      <c r="D5" s="4" t="inlineStr">
        <is>
          <t>KCar Enterprise Value</t>
        </is>
      </c>
      <c r="E5" s="4" t="inlineStr">
        <is>
          <t>2024</t>
        </is>
      </c>
      <c r="F5" s="8" t="inlineStr">
        <is>
          <t>J5</t>
        </is>
      </c>
      <c r="G5" s="4">
        <f>J116</f>
        <v/>
      </c>
      <c r="H5" s="4" t="inlineStr">
        <is>
          <t>calculation</t>
        </is>
      </c>
    </row>
    <row r="6">
      <c r="B6" s="4" t="inlineStr">
        <is>
          <t>Model</t>
        </is>
      </c>
      <c r="C6" s="8" t="inlineStr">
        <is>
          <t>root</t>
        </is>
      </c>
      <c r="D6" s="4" t="inlineStr">
        <is>
          <t>KCar Enterprise Value</t>
        </is>
      </c>
      <c r="E6" s="4" t="inlineStr">
        <is>
          <t>2025</t>
        </is>
      </c>
      <c r="F6" s="8" t="inlineStr">
        <is>
          <t>K5</t>
        </is>
      </c>
      <c r="G6" s="4">
        <f>K116</f>
        <v/>
      </c>
      <c r="H6" s="4" t="inlineStr">
        <is>
          <t>calculation</t>
        </is>
      </c>
    </row>
    <row r="7">
      <c r="B7" s="4" t="inlineStr">
        <is>
          <t>Model</t>
        </is>
      </c>
      <c r="C7" s="8" t="inlineStr">
        <is>
          <t>root</t>
        </is>
      </c>
      <c r="D7" s="4" t="inlineStr">
        <is>
          <t>KCar Enterprise Value</t>
        </is>
      </c>
      <c r="E7" s="4" t="inlineStr">
        <is>
          <t>2026</t>
        </is>
      </c>
      <c r="F7" s="8" t="inlineStr">
        <is>
          <t>L5</t>
        </is>
      </c>
      <c r="G7" s="4">
        <f>L116</f>
        <v/>
      </c>
      <c r="H7" s="4" t="inlineStr">
        <is>
          <t>calculation</t>
        </is>
      </c>
    </row>
    <row r="8">
      <c r="B8" s="4" t="inlineStr">
        <is>
          <t>Model</t>
        </is>
      </c>
      <c r="C8" s="8" t="inlineStr">
        <is>
          <t>root</t>
        </is>
      </c>
      <c r="D8" s="4" t="inlineStr">
        <is>
          <t>KCar Enterprise Value</t>
        </is>
      </c>
      <c r="E8" s="4" t="inlineStr">
        <is>
          <t>2027</t>
        </is>
      </c>
      <c r="F8" s="8" t="inlineStr">
        <is>
          <t>M5</t>
        </is>
      </c>
      <c r="G8" s="4">
        <f>M116</f>
        <v/>
      </c>
      <c r="H8" s="4" t="inlineStr">
        <is>
          <t>calculation</t>
        </is>
      </c>
    </row>
    <row r="9">
      <c r="B9" s="4" t="inlineStr">
        <is>
          <t>Model</t>
        </is>
      </c>
      <c r="C9" s="8" t="inlineStr">
        <is>
          <t>root</t>
        </is>
      </c>
      <c r="D9" s="4" t="inlineStr">
        <is>
          <t>KCar Enterprise Value</t>
        </is>
      </c>
      <c r="E9" s="4" t="inlineStr">
        <is>
          <t>2028</t>
        </is>
      </c>
      <c r="F9" s="8" t="inlineStr">
        <is>
          <t>N5</t>
        </is>
      </c>
      <c r="G9" s="4">
        <f>N116</f>
        <v/>
      </c>
      <c r="H9" s="4" t="inlineStr">
        <is>
          <t>calculation</t>
        </is>
      </c>
    </row>
    <row r="10">
      <c r="B10" s="4" t="inlineStr">
        <is>
          <t>Model</t>
        </is>
      </c>
      <c r="C10" s="8" t="inlineStr">
        <is>
          <t>root</t>
        </is>
      </c>
      <c r="D10" s="4" t="inlineStr">
        <is>
          <t>KCar Enterprise Value</t>
        </is>
      </c>
      <c r="E10" s="4" t="inlineStr">
        <is>
          <t>2029</t>
        </is>
      </c>
      <c r="F10" s="8" t="inlineStr">
        <is>
          <t>O5</t>
        </is>
      </c>
      <c r="G10" s="4">
        <f>O116</f>
        <v/>
      </c>
      <c r="H10" s="4" t="inlineStr">
        <is>
          <t>calculation</t>
        </is>
      </c>
    </row>
    <row r="11">
      <c r="B11" s="4" t="inlineStr">
        <is>
          <t>Model</t>
        </is>
      </c>
      <c r="C11" s="8" t="inlineStr">
        <is>
          <t>rev</t>
        </is>
      </c>
      <c r="D11" s="4" t="inlineStr">
        <is>
          <t>매출 합계</t>
        </is>
      </c>
      <c r="E11" s="4" t="inlineStr">
        <is>
          <t>2023</t>
        </is>
      </c>
      <c r="F11" s="8" t="inlineStr">
        <is>
          <t>I6</t>
        </is>
      </c>
      <c r="G11" s="4">
        <f>SUM(I7,I74,I77,I80)</f>
        <v/>
      </c>
      <c r="H11" s="4" t="inlineStr">
        <is>
          <t>calculation</t>
        </is>
      </c>
    </row>
    <row r="12">
      <c r="B12" s="4" t="inlineStr">
        <is>
          <t>Model</t>
        </is>
      </c>
      <c r="C12" s="8" t="inlineStr">
        <is>
          <t>rev</t>
        </is>
      </c>
      <c r="D12" s="4" t="inlineStr">
        <is>
          <t>매출 합계</t>
        </is>
      </c>
      <c r="E12" s="4" t="inlineStr">
        <is>
          <t>2024</t>
        </is>
      </c>
      <c r="F12" s="8" t="inlineStr">
        <is>
          <t>J6</t>
        </is>
      </c>
      <c r="G12" s="4">
        <f>SUM(J7,J74,J77,J80)</f>
        <v/>
      </c>
      <c r="H12" s="4" t="inlineStr">
        <is>
          <t>calculation</t>
        </is>
      </c>
    </row>
    <row r="13">
      <c r="B13" s="4" t="inlineStr">
        <is>
          <t>Model</t>
        </is>
      </c>
      <c r="C13" s="8" t="inlineStr">
        <is>
          <t>rev</t>
        </is>
      </c>
      <c r="D13" s="4" t="inlineStr">
        <is>
          <t>매출 합계</t>
        </is>
      </c>
      <c r="E13" s="4" t="inlineStr">
        <is>
          <t>2025</t>
        </is>
      </c>
      <c r="F13" s="8" t="inlineStr">
        <is>
          <t>K6</t>
        </is>
      </c>
      <c r="G13" s="4">
        <f>SUM(K7,K74,K77,K80)</f>
        <v/>
      </c>
      <c r="H13" s="4" t="inlineStr">
        <is>
          <t>calculation</t>
        </is>
      </c>
    </row>
    <row r="14">
      <c r="B14" s="4" t="inlineStr">
        <is>
          <t>Model</t>
        </is>
      </c>
      <c r="C14" s="8" t="inlineStr">
        <is>
          <t>rev</t>
        </is>
      </c>
      <c r="D14" s="4" t="inlineStr">
        <is>
          <t>매출 합계</t>
        </is>
      </c>
      <c r="E14" s="4" t="inlineStr">
        <is>
          <t>2026</t>
        </is>
      </c>
      <c r="F14" s="8" t="inlineStr">
        <is>
          <t>L6</t>
        </is>
      </c>
      <c r="G14" s="4">
        <f>SUM(L7,L74,L77,L80)</f>
        <v/>
      </c>
      <c r="H14" s="4" t="inlineStr">
        <is>
          <t>calculation</t>
        </is>
      </c>
    </row>
    <row r="15">
      <c r="B15" s="4" t="inlineStr">
        <is>
          <t>Model</t>
        </is>
      </c>
      <c r="C15" s="8" t="inlineStr">
        <is>
          <t>rev</t>
        </is>
      </c>
      <c r="D15" s="4" t="inlineStr">
        <is>
          <t>매출 합계</t>
        </is>
      </c>
      <c r="E15" s="4" t="inlineStr">
        <is>
          <t>2027</t>
        </is>
      </c>
      <c r="F15" s="8" t="inlineStr">
        <is>
          <t>M6</t>
        </is>
      </c>
      <c r="G15" s="4">
        <f>SUM(M7,M74,M77,M80)</f>
        <v/>
      </c>
      <c r="H15" s="4" t="inlineStr">
        <is>
          <t>calculation</t>
        </is>
      </c>
    </row>
    <row r="16">
      <c r="B16" s="4" t="inlineStr">
        <is>
          <t>Model</t>
        </is>
      </c>
      <c r="C16" s="8" t="inlineStr">
        <is>
          <t>rev</t>
        </is>
      </c>
      <c r="D16" s="4" t="inlineStr">
        <is>
          <t>매출 합계</t>
        </is>
      </c>
      <c r="E16" s="4" t="inlineStr">
        <is>
          <t>2028</t>
        </is>
      </c>
      <c r="F16" s="8" t="inlineStr">
        <is>
          <t>N6</t>
        </is>
      </c>
      <c r="G16" s="4">
        <f>SUM(N7,N74,N77,N80)</f>
        <v/>
      </c>
      <c r="H16" s="4" t="inlineStr">
        <is>
          <t>calculation</t>
        </is>
      </c>
    </row>
    <row r="17">
      <c r="B17" s="4" t="inlineStr">
        <is>
          <t>Model</t>
        </is>
      </c>
      <c r="C17" s="8" t="inlineStr">
        <is>
          <t>rev</t>
        </is>
      </c>
      <c r="D17" s="4" t="inlineStr">
        <is>
          <t>매출 합계</t>
        </is>
      </c>
      <c r="E17" s="4" t="inlineStr">
        <is>
          <t>2029</t>
        </is>
      </c>
      <c r="F17" s="8" t="inlineStr">
        <is>
          <t>O6</t>
        </is>
      </c>
      <c r="G17" s="4">
        <f>SUM(O7,O74,O77,O80)</f>
        <v/>
      </c>
      <c r="H17" s="4" t="inlineStr">
        <is>
          <t>calculation</t>
        </is>
      </c>
    </row>
    <row r="18">
      <c r="B18" s="4" t="inlineStr">
        <is>
          <t>Model</t>
        </is>
      </c>
      <c r="C18" s="8" t="inlineStr">
        <is>
          <t>used_car_sales</t>
        </is>
      </c>
      <c r="D18" s="4" t="inlineStr">
        <is>
          <t>중고차 판매</t>
        </is>
      </c>
      <c r="E18" s="4" t="inlineStr">
        <is>
          <t>2023</t>
        </is>
      </c>
      <c r="F18" s="8" t="inlineStr">
        <is>
          <t>I7</t>
        </is>
      </c>
      <c r="G18" s="4">
        <f>(I8+I44)</f>
        <v/>
      </c>
      <c r="H18" s="4" t="inlineStr">
        <is>
          <t>calculation</t>
        </is>
      </c>
    </row>
    <row r="19">
      <c r="B19" s="4" t="inlineStr">
        <is>
          <t>Model</t>
        </is>
      </c>
      <c r="C19" s="8" t="inlineStr">
        <is>
          <t>used_car_sales</t>
        </is>
      </c>
      <c r="D19" s="4" t="inlineStr">
        <is>
          <t>중고차 판매</t>
        </is>
      </c>
      <c r="E19" s="4" t="inlineStr">
        <is>
          <t>2024</t>
        </is>
      </c>
      <c r="F19" s="8" t="inlineStr">
        <is>
          <t>J7</t>
        </is>
      </c>
      <c r="G19" s="4">
        <f>(J8+J44)</f>
        <v/>
      </c>
      <c r="H19" s="4" t="inlineStr">
        <is>
          <t>calculation</t>
        </is>
      </c>
    </row>
    <row r="20">
      <c r="B20" s="4" t="inlineStr">
        <is>
          <t>Model</t>
        </is>
      </c>
      <c r="C20" s="8" t="inlineStr">
        <is>
          <t>used_car_sales</t>
        </is>
      </c>
      <c r="D20" s="4" t="inlineStr">
        <is>
          <t>중고차 판매</t>
        </is>
      </c>
      <c r="E20" s="4" t="inlineStr">
        <is>
          <t>2025</t>
        </is>
      </c>
      <c r="F20" s="8" t="inlineStr">
        <is>
          <t>K7</t>
        </is>
      </c>
      <c r="G20" s="4">
        <f>(K8+K44)</f>
        <v/>
      </c>
      <c r="H20" s="4" t="inlineStr">
        <is>
          <t>calculation</t>
        </is>
      </c>
    </row>
    <row r="21">
      <c r="B21" s="4" t="inlineStr">
        <is>
          <t>Model</t>
        </is>
      </c>
      <c r="C21" s="8" t="inlineStr">
        <is>
          <t>used_car_sales</t>
        </is>
      </c>
      <c r="D21" s="4" t="inlineStr">
        <is>
          <t>중고차 판매</t>
        </is>
      </c>
      <c r="E21" s="4" t="inlineStr">
        <is>
          <t>2026</t>
        </is>
      </c>
      <c r="F21" s="8" t="inlineStr">
        <is>
          <t>L7</t>
        </is>
      </c>
      <c r="G21" s="4">
        <f>(L8+L44)</f>
        <v/>
      </c>
      <c r="H21" s="4" t="inlineStr">
        <is>
          <t>calculation</t>
        </is>
      </c>
    </row>
    <row r="22">
      <c r="B22" s="4" t="inlineStr">
        <is>
          <t>Model</t>
        </is>
      </c>
      <c r="C22" s="8" t="inlineStr">
        <is>
          <t>used_car_sales</t>
        </is>
      </c>
      <c r="D22" s="4" t="inlineStr">
        <is>
          <t>중고차 판매</t>
        </is>
      </c>
      <c r="E22" s="4" t="inlineStr">
        <is>
          <t>2027</t>
        </is>
      </c>
      <c r="F22" s="8" t="inlineStr">
        <is>
          <t>M7</t>
        </is>
      </c>
      <c r="G22" s="4">
        <f>(M8+M44)</f>
        <v/>
      </c>
      <c r="H22" s="4" t="inlineStr">
        <is>
          <t>calculation</t>
        </is>
      </c>
    </row>
    <row r="23">
      <c r="B23" s="4" t="inlineStr">
        <is>
          <t>Model</t>
        </is>
      </c>
      <c r="C23" s="8" t="inlineStr">
        <is>
          <t>used_car_sales</t>
        </is>
      </c>
      <c r="D23" s="4" t="inlineStr">
        <is>
          <t>중고차 판매</t>
        </is>
      </c>
      <c r="E23" s="4" t="inlineStr">
        <is>
          <t>2028</t>
        </is>
      </c>
      <c r="F23" s="8" t="inlineStr">
        <is>
          <t>N7</t>
        </is>
      </c>
      <c r="G23" s="4">
        <f>(N8+N44)</f>
        <v/>
      </c>
      <c r="H23" s="4" t="inlineStr">
        <is>
          <t>calculation</t>
        </is>
      </c>
    </row>
    <row r="24">
      <c r="B24" s="4" t="inlineStr">
        <is>
          <t>Model</t>
        </is>
      </c>
      <c r="C24" s="8" t="inlineStr">
        <is>
          <t>used_car_sales</t>
        </is>
      </c>
      <c r="D24" s="4" t="inlineStr">
        <is>
          <t>중고차 판매</t>
        </is>
      </c>
      <c r="E24" s="4" t="inlineStr">
        <is>
          <t>2029</t>
        </is>
      </c>
      <c r="F24" s="8" t="inlineStr">
        <is>
          <t>O7</t>
        </is>
      </c>
      <c r="G24" s="4">
        <f>(O8+O44)</f>
        <v/>
      </c>
      <c r="H24" s="4" t="inlineStr">
        <is>
          <t>calculation</t>
        </is>
      </c>
    </row>
    <row r="25">
      <c r="B25" s="4" t="inlineStr">
        <is>
          <t>Model</t>
        </is>
      </c>
      <c r="C25" s="8" t="inlineStr">
        <is>
          <t>ecommerce_sales</t>
        </is>
      </c>
      <c r="D25" s="4" t="inlineStr">
        <is>
          <t>이커머스 중고차 판매</t>
        </is>
      </c>
      <c r="E25" s="4" t="inlineStr">
        <is>
          <t>2023</t>
        </is>
      </c>
      <c r="F25" s="8" t="inlineStr">
        <is>
          <t>I8</t>
        </is>
      </c>
      <c r="G25" s="4">
        <f>SUM(I9,I14,I19,I24,I29,I34,I39)</f>
        <v/>
      </c>
      <c r="H25" s="4" t="inlineStr">
        <is>
          <t>calculation</t>
        </is>
      </c>
    </row>
    <row r="26">
      <c r="B26" s="4" t="inlineStr">
        <is>
          <t>Model</t>
        </is>
      </c>
      <c r="C26" s="8" t="inlineStr">
        <is>
          <t>ecommerce_sales</t>
        </is>
      </c>
      <c r="D26" s="4" t="inlineStr">
        <is>
          <t>이커머스 중고차 판매</t>
        </is>
      </c>
      <c r="E26" s="4" t="inlineStr">
        <is>
          <t>2024</t>
        </is>
      </c>
      <c r="F26" s="8" t="inlineStr">
        <is>
          <t>J8</t>
        </is>
      </c>
      <c r="G26" s="4">
        <f>SUM(J9,J14,J19,J24,J29,J34,J39)</f>
        <v/>
      </c>
      <c r="H26" s="4" t="inlineStr">
        <is>
          <t>calculation</t>
        </is>
      </c>
    </row>
    <row r="27">
      <c r="B27" s="4" t="inlineStr">
        <is>
          <t>Model</t>
        </is>
      </c>
      <c r="C27" s="8" t="inlineStr">
        <is>
          <t>ecommerce_sales</t>
        </is>
      </c>
      <c r="D27" s="4" t="inlineStr">
        <is>
          <t>이커머스 중고차 판매</t>
        </is>
      </c>
      <c r="E27" s="4" t="inlineStr">
        <is>
          <t>2025</t>
        </is>
      </c>
      <c r="F27" s="8" t="inlineStr">
        <is>
          <t>K8</t>
        </is>
      </c>
      <c r="G27" s="4">
        <f>SUM(K9,K14,K19,K24,K29,K34,K39)</f>
        <v/>
      </c>
      <c r="H27" s="4" t="inlineStr">
        <is>
          <t>calculation</t>
        </is>
      </c>
    </row>
    <row r="28">
      <c r="B28" s="4" t="inlineStr">
        <is>
          <t>Model</t>
        </is>
      </c>
      <c r="C28" s="8" t="inlineStr">
        <is>
          <t>ecommerce_sales</t>
        </is>
      </c>
      <c r="D28" s="4" t="inlineStr">
        <is>
          <t>이커머스 중고차 판매</t>
        </is>
      </c>
      <c r="E28" s="4" t="inlineStr">
        <is>
          <t>2026</t>
        </is>
      </c>
      <c r="F28" s="8" t="inlineStr">
        <is>
          <t>L8</t>
        </is>
      </c>
      <c r="G28" s="4">
        <f>SUM(L9,L14,L19,L24,L29,L34,L39)</f>
        <v/>
      </c>
      <c r="H28" s="4" t="inlineStr">
        <is>
          <t>calculation</t>
        </is>
      </c>
    </row>
    <row r="29">
      <c r="B29" s="4" t="inlineStr">
        <is>
          <t>Model</t>
        </is>
      </c>
      <c r="C29" s="8" t="inlineStr">
        <is>
          <t>ecommerce_sales</t>
        </is>
      </c>
      <c r="D29" s="4" t="inlineStr">
        <is>
          <t>이커머스 중고차 판매</t>
        </is>
      </c>
      <c r="E29" s="4" t="inlineStr">
        <is>
          <t>2027</t>
        </is>
      </c>
      <c r="F29" s="8" t="inlineStr">
        <is>
          <t>M8</t>
        </is>
      </c>
      <c r="G29" s="4">
        <f>SUM(M9,M14,M19,M24,M29,M34,M39)</f>
        <v/>
      </c>
      <c r="H29" s="4" t="inlineStr">
        <is>
          <t>calculation</t>
        </is>
      </c>
    </row>
    <row r="30">
      <c r="B30" s="4" t="inlineStr">
        <is>
          <t>Model</t>
        </is>
      </c>
      <c r="C30" s="8" t="inlineStr">
        <is>
          <t>ecommerce_sales</t>
        </is>
      </c>
      <c r="D30" s="4" t="inlineStr">
        <is>
          <t>이커머스 중고차 판매</t>
        </is>
      </c>
      <c r="E30" s="4" t="inlineStr">
        <is>
          <t>2028</t>
        </is>
      </c>
      <c r="F30" s="8" t="inlineStr">
        <is>
          <t>N8</t>
        </is>
      </c>
      <c r="G30" s="4">
        <f>SUM(N9,N14,N19,N24,N29,N34,N39)</f>
        <v/>
      </c>
      <c r="H30" s="4" t="inlineStr">
        <is>
          <t>calculation</t>
        </is>
      </c>
    </row>
    <row r="31">
      <c r="B31" s="4" t="inlineStr">
        <is>
          <t>Model</t>
        </is>
      </c>
      <c r="C31" s="8" t="inlineStr">
        <is>
          <t>ecommerce_sales</t>
        </is>
      </c>
      <c r="D31" s="4" t="inlineStr">
        <is>
          <t>이커머스 중고차 판매</t>
        </is>
      </c>
      <c r="E31" s="4" t="inlineStr">
        <is>
          <t>2029</t>
        </is>
      </c>
      <c r="F31" s="8" t="inlineStr">
        <is>
          <t>O8</t>
        </is>
      </c>
      <c r="G31" s="4">
        <f>SUM(O9,O14,O19,O24,O29,O34,O39)</f>
        <v/>
      </c>
      <c r="H31" s="4" t="inlineStr">
        <is>
          <t>calculation</t>
        </is>
      </c>
    </row>
    <row r="32">
      <c r="B32" s="4" t="inlineStr">
        <is>
          <t>Model</t>
        </is>
      </c>
      <c r="C32" s="8" t="inlineStr">
        <is>
          <t>ec_suv_rev</t>
        </is>
      </c>
      <c r="D32" s="4" t="inlineStr">
        <is>
          <t>이커머스 SUV</t>
        </is>
      </c>
      <c r="E32" s="4" t="inlineStr">
        <is>
          <t>2023</t>
        </is>
      </c>
      <c r="F32" s="8" t="inlineStr">
        <is>
          <t>I9</t>
        </is>
      </c>
      <c r="G32" s="4">
        <f>(I12*I13)</f>
        <v/>
      </c>
      <c r="H32" s="4" t="inlineStr">
        <is>
          <t>calculation</t>
        </is>
      </c>
    </row>
    <row r="33">
      <c r="B33" s="4" t="inlineStr">
        <is>
          <t>Model</t>
        </is>
      </c>
      <c r="C33" s="8" t="inlineStr">
        <is>
          <t>ec_suv_rev</t>
        </is>
      </c>
      <c r="D33" s="4" t="inlineStr">
        <is>
          <t>이커머스 SUV</t>
        </is>
      </c>
      <c r="E33" s="4" t="inlineStr">
        <is>
          <t>2024</t>
        </is>
      </c>
      <c r="F33" s="8" t="inlineStr">
        <is>
          <t>J9</t>
        </is>
      </c>
      <c r="G33" s="4">
        <f>(J12*J13)</f>
        <v/>
      </c>
      <c r="H33" s="4" t="inlineStr">
        <is>
          <t>calculation</t>
        </is>
      </c>
    </row>
    <row r="34">
      <c r="B34" s="4" t="inlineStr">
        <is>
          <t>Model</t>
        </is>
      </c>
      <c r="C34" s="8" t="inlineStr">
        <is>
          <t>ec_suv_rev</t>
        </is>
      </c>
      <c r="D34" s="4" t="inlineStr">
        <is>
          <t>이커머스 SUV</t>
        </is>
      </c>
      <c r="E34" s="4" t="inlineStr">
        <is>
          <t>2025</t>
        </is>
      </c>
      <c r="F34" s="8" t="inlineStr">
        <is>
          <t>K9</t>
        </is>
      </c>
      <c r="G34" s="4">
        <f>(K12*K13)</f>
        <v/>
      </c>
      <c r="H34" s="4" t="inlineStr">
        <is>
          <t>calculation</t>
        </is>
      </c>
    </row>
    <row r="35">
      <c r="B35" s="4" t="inlineStr">
        <is>
          <t>Model</t>
        </is>
      </c>
      <c r="C35" s="8" t="inlineStr">
        <is>
          <t>ec_suv_rev</t>
        </is>
      </c>
      <c r="D35" s="4" t="inlineStr">
        <is>
          <t>이커머스 SUV</t>
        </is>
      </c>
      <c r="E35" s="4" t="inlineStr">
        <is>
          <t>2026</t>
        </is>
      </c>
      <c r="F35" s="8" t="inlineStr">
        <is>
          <t>L9</t>
        </is>
      </c>
      <c r="G35" s="4">
        <f>(L12*L13)</f>
        <v/>
      </c>
      <c r="H35" s="4" t="inlineStr">
        <is>
          <t>calculation</t>
        </is>
      </c>
    </row>
    <row r="36">
      <c r="B36" s="4" t="inlineStr">
        <is>
          <t>Model</t>
        </is>
      </c>
      <c r="C36" s="8" t="inlineStr">
        <is>
          <t>ec_suv_rev</t>
        </is>
      </c>
      <c r="D36" s="4" t="inlineStr">
        <is>
          <t>이커머스 SUV</t>
        </is>
      </c>
      <c r="E36" s="4" t="inlineStr">
        <is>
          <t>2027</t>
        </is>
      </c>
      <c r="F36" s="8" t="inlineStr">
        <is>
          <t>M9</t>
        </is>
      </c>
      <c r="G36" s="4">
        <f>(M12*M13)</f>
        <v/>
      </c>
      <c r="H36" s="4" t="inlineStr">
        <is>
          <t>calculation</t>
        </is>
      </c>
    </row>
    <row r="37">
      <c r="B37" s="4" t="inlineStr">
        <is>
          <t>Model</t>
        </is>
      </c>
      <c r="C37" s="8" t="inlineStr">
        <is>
          <t>ec_suv_rev</t>
        </is>
      </c>
      <c r="D37" s="4" t="inlineStr">
        <is>
          <t>이커머스 SUV</t>
        </is>
      </c>
      <c r="E37" s="4" t="inlineStr">
        <is>
          <t>2028</t>
        </is>
      </c>
      <c r="F37" s="8" t="inlineStr">
        <is>
          <t>N9</t>
        </is>
      </c>
      <c r="G37" s="4">
        <f>(N12*N13)</f>
        <v/>
      </c>
      <c r="H37" s="4" t="inlineStr">
        <is>
          <t>calculation</t>
        </is>
      </c>
    </row>
    <row r="38">
      <c r="B38" s="4" t="inlineStr">
        <is>
          <t>Model</t>
        </is>
      </c>
      <c r="C38" s="8" t="inlineStr">
        <is>
          <t>ec_suv_rev</t>
        </is>
      </c>
      <c r="D38" s="4" t="inlineStr">
        <is>
          <t>이커머스 SUV</t>
        </is>
      </c>
      <c r="E38" s="4" t="inlineStr">
        <is>
          <t>2029</t>
        </is>
      </c>
      <c r="F38" s="8" t="inlineStr">
        <is>
          <t>O9</t>
        </is>
      </c>
      <c r="G38" s="4">
        <f>(O12*O13)</f>
        <v/>
      </c>
      <c r="H38" s="4" t="inlineStr">
        <is>
          <t>calculation</t>
        </is>
      </c>
    </row>
    <row r="39">
      <c r="B39" s="4" t="inlineStr">
        <is>
          <t>Model</t>
        </is>
      </c>
      <c r="C39" s="8" t="inlineStr">
        <is>
          <t>market_suv</t>
        </is>
      </c>
      <c r="D39" s="4" t="inlineStr">
        <is>
          <t>SUV 시장판매대수</t>
        </is>
      </c>
      <c r="E39" s="4" t="inlineStr">
        <is>
          <t>2023</t>
        </is>
      </c>
      <c r="F39" s="8" t="inlineStr">
        <is>
          <t>I10</t>
        </is>
      </c>
      <c r="G39" s="4">
        <f>'Assumptions'!I5</f>
        <v/>
      </c>
      <c r="H39" s="4" t="inlineStr">
        <is>
          <t>input link</t>
        </is>
      </c>
    </row>
    <row r="40">
      <c r="B40" s="4" t="inlineStr">
        <is>
          <t>Model</t>
        </is>
      </c>
      <c r="C40" s="8" t="inlineStr">
        <is>
          <t>market_suv</t>
        </is>
      </c>
      <c r="D40" s="4" t="inlineStr">
        <is>
          <t>SUV 시장판매대수</t>
        </is>
      </c>
      <c r="E40" s="4" t="inlineStr">
        <is>
          <t>2024</t>
        </is>
      </c>
      <c r="F40" s="8" t="inlineStr">
        <is>
          <t>J10</t>
        </is>
      </c>
      <c r="G40" s="4">
        <f>'Assumptions'!J5</f>
        <v/>
      </c>
      <c r="H40" s="4" t="inlineStr">
        <is>
          <t>input link</t>
        </is>
      </c>
    </row>
    <row r="41">
      <c r="B41" s="4" t="inlineStr">
        <is>
          <t>Model</t>
        </is>
      </c>
      <c r="C41" s="8" t="inlineStr">
        <is>
          <t>market_suv</t>
        </is>
      </c>
      <c r="D41" s="4" t="inlineStr">
        <is>
          <t>SUV 시장판매대수</t>
        </is>
      </c>
      <c r="E41" s="4" t="inlineStr">
        <is>
          <t>2025</t>
        </is>
      </c>
      <c r="F41" s="8" t="inlineStr">
        <is>
          <t>K10</t>
        </is>
      </c>
      <c r="G41" s="4">
        <f>'Assumptions'!K5</f>
        <v/>
      </c>
      <c r="H41" s="4" t="inlineStr">
        <is>
          <t>input link</t>
        </is>
      </c>
    </row>
    <row r="42">
      <c r="B42" s="4" t="inlineStr">
        <is>
          <t>Model</t>
        </is>
      </c>
      <c r="C42" s="8" t="inlineStr">
        <is>
          <t>market_suv</t>
        </is>
      </c>
      <c r="D42" s="4" t="inlineStr">
        <is>
          <t>SUV 시장판매대수</t>
        </is>
      </c>
      <c r="E42" s="4" t="inlineStr">
        <is>
          <t>2026</t>
        </is>
      </c>
      <c r="F42" s="8" t="inlineStr">
        <is>
          <t>L10</t>
        </is>
      </c>
      <c r="G42" s="4">
        <f>'Assumptions'!L5</f>
        <v/>
      </c>
      <c r="H42" s="4" t="inlineStr">
        <is>
          <t>input link</t>
        </is>
      </c>
    </row>
    <row r="43">
      <c r="B43" s="4" t="inlineStr">
        <is>
          <t>Model</t>
        </is>
      </c>
      <c r="C43" s="8" t="inlineStr">
        <is>
          <t>market_suv</t>
        </is>
      </c>
      <c r="D43" s="4" t="inlineStr">
        <is>
          <t>SUV 시장판매대수</t>
        </is>
      </c>
      <c r="E43" s="4" t="inlineStr">
        <is>
          <t>2027</t>
        </is>
      </c>
      <c r="F43" s="8" t="inlineStr">
        <is>
          <t>M10</t>
        </is>
      </c>
      <c r="G43" s="4">
        <f>'Assumptions'!M5</f>
        <v/>
      </c>
      <c r="H43" s="4" t="inlineStr">
        <is>
          <t>input link</t>
        </is>
      </c>
    </row>
    <row r="44">
      <c r="B44" s="4" t="inlineStr">
        <is>
          <t>Model</t>
        </is>
      </c>
      <c r="C44" s="8" t="inlineStr">
        <is>
          <t>market_suv</t>
        </is>
      </c>
      <c r="D44" s="4" t="inlineStr">
        <is>
          <t>SUV 시장판매대수</t>
        </is>
      </c>
      <c r="E44" s="4" t="inlineStr">
        <is>
          <t>2028</t>
        </is>
      </c>
      <c r="F44" s="8" t="inlineStr">
        <is>
          <t>N10</t>
        </is>
      </c>
      <c r="G44" s="4">
        <f>'Assumptions'!N5</f>
        <v/>
      </c>
      <c r="H44" s="4" t="inlineStr">
        <is>
          <t>input link</t>
        </is>
      </c>
    </row>
    <row r="45">
      <c r="B45" s="4" t="inlineStr">
        <is>
          <t>Model</t>
        </is>
      </c>
      <c r="C45" s="8" t="inlineStr">
        <is>
          <t>market_suv</t>
        </is>
      </c>
      <c r="D45" s="4" t="inlineStr">
        <is>
          <t>SUV 시장판매대수</t>
        </is>
      </c>
      <c r="E45" s="4" t="inlineStr">
        <is>
          <t>2029</t>
        </is>
      </c>
      <c r="F45" s="8" t="inlineStr">
        <is>
          <t>O10</t>
        </is>
      </c>
      <c r="G45" s="4">
        <f>'Assumptions'!O5</f>
        <v/>
      </c>
      <c r="H45" s="4" t="inlineStr">
        <is>
          <t>input link</t>
        </is>
      </c>
    </row>
    <row r="46">
      <c r="B46" s="4" t="inlineStr">
        <is>
          <t>Model</t>
        </is>
      </c>
      <c r="C46" s="8" t="inlineStr">
        <is>
          <t>ec_suv_share</t>
        </is>
      </c>
      <c r="D46" s="4" t="inlineStr">
        <is>
          <t>이커머스 SUV 점유율</t>
        </is>
      </c>
      <c r="E46" s="4" t="inlineStr">
        <is>
          <t>2023</t>
        </is>
      </c>
      <c r="F46" s="8" t="inlineStr">
        <is>
          <t>I11</t>
        </is>
      </c>
      <c r="G46" s="4">
        <f>'Assumptions'!I6</f>
        <v/>
      </c>
      <c r="H46" s="4" t="inlineStr">
        <is>
          <t>input link</t>
        </is>
      </c>
    </row>
    <row r="47">
      <c r="B47" s="4" t="inlineStr">
        <is>
          <t>Model</t>
        </is>
      </c>
      <c r="C47" s="8" t="inlineStr">
        <is>
          <t>ec_suv_share</t>
        </is>
      </c>
      <c r="D47" s="4" t="inlineStr">
        <is>
          <t>이커머스 SUV 점유율</t>
        </is>
      </c>
      <c r="E47" s="4" t="inlineStr">
        <is>
          <t>2024</t>
        </is>
      </c>
      <c r="F47" s="8" t="inlineStr">
        <is>
          <t>J11</t>
        </is>
      </c>
      <c r="G47" s="4">
        <f>'Assumptions'!J6</f>
        <v/>
      </c>
      <c r="H47" s="4" t="inlineStr">
        <is>
          <t>input link</t>
        </is>
      </c>
    </row>
    <row r="48">
      <c r="B48" s="4" t="inlineStr">
        <is>
          <t>Model</t>
        </is>
      </c>
      <c r="C48" s="8" t="inlineStr">
        <is>
          <t>ec_suv_share</t>
        </is>
      </c>
      <c r="D48" s="4" t="inlineStr">
        <is>
          <t>이커머스 SUV 점유율</t>
        </is>
      </c>
      <c r="E48" s="4" t="inlineStr">
        <is>
          <t>2025</t>
        </is>
      </c>
      <c r="F48" s="8" t="inlineStr">
        <is>
          <t>K11</t>
        </is>
      </c>
      <c r="G48" s="4">
        <f>'Assumptions'!K6</f>
        <v/>
      </c>
      <c r="H48" s="4" t="inlineStr">
        <is>
          <t>input link</t>
        </is>
      </c>
    </row>
    <row r="49">
      <c r="B49" s="4" t="inlineStr">
        <is>
          <t>Model</t>
        </is>
      </c>
      <c r="C49" s="8" t="inlineStr">
        <is>
          <t>ec_suv_share</t>
        </is>
      </c>
      <c r="D49" s="4" t="inlineStr">
        <is>
          <t>이커머스 SUV 점유율</t>
        </is>
      </c>
      <c r="E49" s="4" t="inlineStr">
        <is>
          <t>2026</t>
        </is>
      </c>
      <c r="F49" s="8" t="inlineStr">
        <is>
          <t>L11</t>
        </is>
      </c>
      <c r="G49" s="4">
        <f>'Assumptions'!L6</f>
        <v/>
      </c>
      <c r="H49" s="4" t="inlineStr">
        <is>
          <t>input link</t>
        </is>
      </c>
    </row>
    <row r="50">
      <c r="B50" s="4" t="inlineStr">
        <is>
          <t>Model</t>
        </is>
      </c>
      <c r="C50" s="8" t="inlineStr">
        <is>
          <t>ec_suv_share</t>
        </is>
      </c>
      <c r="D50" s="4" t="inlineStr">
        <is>
          <t>이커머스 SUV 점유율</t>
        </is>
      </c>
      <c r="E50" s="4" t="inlineStr">
        <is>
          <t>2027</t>
        </is>
      </c>
      <c r="F50" s="8" t="inlineStr">
        <is>
          <t>M11</t>
        </is>
      </c>
      <c r="G50" s="4">
        <f>'Assumptions'!M6</f>
        <v/>
      </c>
      <c r="H50" s="4" t="inlineStr">
        <is>
          <t>input link</t>
        </is>
      </c>
    </row>
    <row r="51">
      <c r="B51" s="4" t="inlineStr">
        <is>
          <t>Model</t>
        </is>
      </c>
      <c r="C51" s="8" t="inlineStr">
        <is>
          <t>ec_suv_share</t>
        </is>
      </c>
      <c r="D51" s="4" t="inlineStr">
        <is>
          <t>이커머스 SUV 점유율</t>
        </is>
      </c>
      <c r="E51" s="4" t="inlineStr">
        <is>
          <t>2028</t>
        </is>
      </c>
      <c r="F51" s="8" t="inlineStr">
        <is>
          <t>N11</t>
        </is>
      </c>
      <c r="G51" s="4">
        <f>'Assumptions'!N6</f>
        <v/>
      </c>
      <c r="H51" s="4" t="inlineStr">
        <is>
          <t>input link</t>
        </is>
      </c>
    </row>
    <row r="52">
      <c r="B52" s="4" t="inlineStr">
        <is>
          <t>Model</t>
        </is>
      </c>
      <c r="C52" s="8" t="inlineStr">
        <is>
          <t>ec_suv_share</t>
        </is>
      </c>
      <c r="D52" s="4" t="inlineStr">
        <is>
          <t>이커머스 SUV 점유율</t>
        </is>
      </c>
      <c r="E52" s="4" t="inlineStr">
        <is>
          <t>2029</t>
        </is>
      </c>
      <c r="F52" s="8" t="inlineStr">
        <is>
          <t>O11</t>
        </is>
      </c>
      <c r="G52" s="4">
        <f>'Assumptions'!O6</f>
        <v/>
      </c>
      <c r="H52" s="4" t="inlineStr">
        <is>
          <t>input link</t>
        </is>
      </c>
    </row>
    <row r="53">
      <c r="B53" s="4" t="inlineStr">
        <is>
          <t>Model</t>
        </is>
      </c>
      <c r="C53" s="8" t="inlineStr">
        <is>
          <t>ec_suv_volume</t>
        </is>
      </c>
      <c r="D53" s="4" t="inlineStr">
        <is>
          <t>이커머스 SUV 판매대수</t>
        </is>
      </c>
      <c r="E53" s="4" t="inlineStr">
        <is>
          <t>2023</t>
        </is>
      </c>
      <c r="F53" s="8" t="inlineStr">
        <is>
          <t>I12</t>
        </is>
      </c>
      <c r="G53" s="4">
        <f>(I10*I11)</f>
        <v/>
      </c>
      <c r="H53" s="4" t="inlineStr">
        <is>
          <t>calculation</t>
        </is>
      </c>
    </row>
    <row r="54">
      <c r="B54" s="4" t="inlineStr">
        <is>
          <t>Model</t>
        </is>
      </c>
      <c r="C54" s="8" t="inlineStr">
        <is>
          <t>ec_suv_volume</t>
        </is>
      </c>
      <c r="D54" s="4" t="inlineStr">
        <is>
          <t>이커머스 SUV 판매대수</t>
        </is>
      </c>
      <c r="E54" s="4" t="inlineStr">
        <is>
          <t>2024</t>
        </is>
      </c>
      <c r="F54" s="8" t="inlineStr">
        <is>
          <t>J12</t>
        </is>
      </c>
      <c r="G54" s="4">
        <f>(J10*J11)</f>
        <v/>
      </c>
      <c r="H54" s="4" t="inlineStr">
        <is>
          <t>calculation</t>
        </is>
      </c>
    </row>
    <row r="55">
      <c r="B55" s="4" t="inlineStr">
        <is>
          <t>Model</t>
        </is>
      </c>
      <c r="C55" s="8" t="inlineStr">
        <is>
          <t>ec_suv_volume</t>
        </is>
      </c>
      <c r="D55" s="4" t="inlineStr">
        <is>
          <t>이커머스 SUV 판매대수</t>
        </is>
      </c>
      <c r="E55" s="4" t="inlineStr">
        <is>
          <t>2025</t>
        </is>
      </c>
      <c r="F55" s="8" t="inlineStr">
        <is>
          <t>K12</t>
        </is>
      </c>
      <c r="G55" s="4">
        <f>(K10*K11)</f>
        <v/>
      </c>
      <c r="H55" s="4" t="inlineStr">
        <is>
          <t>calculation</t>
        </is>
      </c>
    </row>
    <row r="56">
      <c r="B56" s="4" t="inlineStr">
        <is>
          <t>Model</t>
        </is>
      </c>
      <c r="C56" s="8" t="inlineStr">
        <is>
          <t>ec_suv_volume</t>
        </is>
      </c>
      <c r="D56" s="4" t="inlineStr">
        <is>
          <t>이커머스 SUV 판매대수</t>
        </is>
      </c>
      <c r="E56" s="4" t="inlineStr">
        <is>
          <t>2026</t>
        </is>
      </c>
      <c r="F56" s="8" t="inlineStr">
        <is>
          <t>L12</t>
        </is>
      </c>
      <c r="G56" s="4">
        <f>(L10*L11)</f>
        <v/>
      </c>
      <c r="H56" s="4" t="inlineStr">
        <is>
          <t>calculation</t>
        </is>
      </c>
    </row>
    <row r="57">
      <c r="B57" s="4" t="inlineStr">
        <is>
          <t>Model</t>
        </is>
      </c>
      <c r="C57" s="8" t="inlineStr">
        <is>
          <t>ec_suv_volume</t>
        </is>
      </c>
      <c r="D57" s="4" t="inlineStr">
        <is>
          <t>이커머스 SUV 판매대수</t>
        </is>
      </c>
      <c r="E57" s="4" t="inlineStr">
        <is>
          <t>2027</t>
        </is>
      </c>
      <c r="F57" s="8" t="inlineStr">
        <is>
          <t>M12</t>
        </is>
      </c>
      <c r="G57" s="4">
        <f>(M10*M11)</f>
        <v/>
      </c>
      <c r="H57" s="4" t="inlineStr">
        <is>
          <t>calculation</t>
        </is>
      </c>
    </row>
    <row r="58">
      <c r="B58" s="4" t="inlineStr">
        <is>
          <t>Model</t>
        </is>
      </c>
      <c r="C58" s="8" t="inlineStr">
        <is>
          <t>ec_suv_volume</t>
        </is>
      </c>
      <c r="D58" s="4" t="inlineStr">
        <is>
          <t>이커머스 SUV 판매대수</t>
        </is>
      </c>
      <c r="E58" s="4" t="inlineStr">
        <is>
          <t>2028</t>
        </is>
      </c>
      <c r="F58" s="8" t="inlineStr">
        <is>
          <t>N12</t>
        </is>
      </c>
      <c r="G58" s="4">
        <f>(N10*N11)</f>
        <v/>
      </c>
      <c r="H58" s="4" t="inlineStr">
        <is>
          <t>calculation</t>
        </is>
      </c>
    </row>
    <row r="59">
      <c r="B59" s="4" t="inlineStr">
        <is>
          <t>Model</t>
        </is>
      </c>
      <c r="C59" s="8" t="inlineStr">
        <is>
          <t>ec_suv_volume</t>
        </is>
      </c>
      <c r="D59" s="4" t="inlineStr">
        <is>
          <t>이커머스 SUV 판매대수</t>
        </is>
      </c>
      <c r="E59" s="4" t="inlineStr">
        <is>
          <t>2029</t>
        </is>
      </c>
      <c r="F59" s="8" t="inlineStr">
        <is>
          <t>O12</t>
        </is>
      </c>
      <c r="G59" s="4">
        <f>(O10*O11)</f>
        <v/>
      </c>
      <c r="H59" s="4" t="inlineStr">
        <is>
          <t>calculation</t>
        </is>
      </c>
    </row>
    <row r="60">
      <c r="B60" s="4" t="inlineStr">
        <is>
          <t>Model</t>
        </is>
      </c>
      <c r="C60" s="8" t="inlineStr">
        <is>
          <t>ec_suv_asp</t>
        </is>
      </c>
      <c r="D60" s="4" t="inlineStr">
        <is>
          <t>이커머스 SUV ASP</t>
        </is>
      </c>
      <c r="E60" s="4" t="inlineStr">
        <is>
          <t>2023</t>
        </is>
      </c>
      <c r="F60" s="8" t="inlineStr">
        <is>
          <t>I13</t>
        </is>
      </c>
      <c r="G60" s="4">
        <f>'Assumptions'!I7</f>
        <v/>
      </c>
      <c r="H60" s="4" t="inlineStr">
        <is>
          <t>input link</t>
        </is>
      </c>
    </row>
    <row r="61">
      <c r="B61" s="4" t="inlineStr">
        <is>
          <t>Model</t>
        </is>
      </c>
      <c r="C61" s="8" t="inlineStr">
        <is>
          <t>ec_suv_asp</t>
        </is>
      </c>
      <c r="D61" s="4" t="inlineStr">
        <is>
          <t>이커머스 SUV ASP</t>
        </is>
      </c>
      <c r="E61" s="4" t="inlineStr">
        <is>
          <t>2024</t>
        </is>
      </c>
      <c r="F61" s="8" t="inlineStr">
        <is>
          <t>J13</t>
        </is>
      </c>
      <c r="G61" s="4">
        <f>'Assumptions'!J7</f>
        <v/>
      </c>
      <c r="H61" s="4" t="inlineStr">
        <is>
          <t>input link</t>
        </is>
      </c>
    </row>
    <row r="62">
      <c r="B62" s="4" t="inlineStr">
        <is>
          <t>Model</t>
        </is>
      </c>
      <c r="C62" s="8" t="inlineStr">
        <is>
          <t>ec_suv_asp</t>
        </is>
      </c>
      <c r="D62" s="4" t="inlineStr">
        <is>
          <t>이커머스 SUV ASP</t>
        </is>
      </c>
      <c r="E62" s="4" t="inlineStr">
        <is>
          <t>2025</t>
        </is>
      </c>
      <c r="F62" s="8" t="inlineStr">
        <is>
          <t>K13</t>
        </is>
      </c>
      <c r="G62" s="4">
        <f>'Assumptions'!K7</f>
        <v/>
      </c>
      <c r="H62" s="4" t="inlineStr">
        <is>
          <t>input link</t>
        </is>
      </c>
    </row>
    <row r="63">
      <c r="B63" s="4" t="inlineStr">
        <is>
          <t>Model</t>
        </is>
      </c>
      <c r="C63" s="8" t="inlineStr">
        <is>
          <t>ec_suv_asp</t>
        </is>
      </c>
      <c r="D63" s="4" t="inlineStr">
        <is>
          <t>이커머스 SUV ASP</t>
        </is>
      </c>
      <c r="E63" s="4" t="inlineStr">
        <is>
          <t>2026</t>
        </is>
      </c>
      <c r="F63" s="8" t="inlineStr">
        <is>
          <t>L13</t>
        </is>
      </c>
      <c r="G63" s="4">
        <f>'Assumptions'!L7</f>
        <v/>
      </c>
      <c r="H63" s="4" t="inlineStr">
        <is>
          <t>input link</t>
        </is>
      </c>
    </row>
    <row r="64">
      <c r="B64" s="4" t="inlineStr">
        <is>
          <t>Model</t>
        </is>
      </c>
      <c r="C64" s="8" t="inlineStr">
        <is>
          <t>ec_suv_asp</t>
        </is>
      </c>
      <c r="D64" s="4" t="inlineStr">
        <is>
          <t>이커머스 SUV ASP</t>
        </is>
      </c>
      <c r="E64" s="4" t="inlineStr">
        <is>
          <t>2027</t>
        </is>
      </c>
      <c r="F64" s="8" t="inlineStr">
        <is>
          <t>M13</t>
        </is>
      </c>
      <c r="G64" s="4">
        <f>'Assumptions'!M7</f>
        <v/>
      </c>
      <c r="H64" s="4" t="inlineStr">
        <is>
          <t>input link</t>
        </is>
      </c>
    </row>
    <row r="65">
      <c r="B65" s="4" t="inlineStr">
        <is>
          <t>Model</t>
        </is>
      </c>
      <c r="C65" s="8" t="inlineStr">
        <is>
          <t>ec_suv_asp</t>
        </is>
      </c>
      <c r="D65" s="4" t="inlineStr">
        <is>
          <t>이커머스 SUV ASP</t>
        </is>
      </c>
      <c r="E65" s="4" t="inlineStr">
        <is>
          <t>2028</t>
        </is>
      </c>
      <c r="F65" s="8" t="inlineStr">
        <is>
          <t>N13</t>
        </is>
      </c>
      <c r="G65" s="4">
        <f>'Assumptions'!N7</f>
        <v/>
      </c>
      <c r="H65" s="4" t="inlineStr">
        <is>
          <t>input link</t>
        </is>
      </c>
    </row>
    <row r="66">
      <c r="B66" s="4" t="inlineStr">
        <is>
          <t>Model</t>
        </is>
      </c>
      <c r="C66" s="8" t="inlineStr">
        <is>
          <t>ec_suv_asp</t>
        </is>
      </c>
      <c r="D66" s="4" t="inlineStr">
        <is>
          <t>이커머스 SUV ASP</t>
        </is>
      </c>
      <c r="E66" s="4" t="inlineStr">
        <is>
          <t>2029</t>
        </is>
      </c>
      <c r="F66" s="8" t="inlineStr">
        <is>
          <t>O13</t>
        </is>
      </c>
      <c r="G66" s="4">
        <f>'Assumptions'!O7</f>
        <v/>
      </c>
      <c r="H66" s="4" t="inlineStr">
        <is>
          <t>input link</t>
        </is>
      </c>
    </row>
    <row r="67">
      <c r="B67" s="4" t="inlineStr">
        <is>
          <t>Model</t>
        </is>
      </c>
      <c r="C67" s="8" t="inlineStr">
        <is>
          <t>ec_large_rev</t>
        </is>
      </c>
      <c r="D67" s="4" t="inlineStr">
        <is>
          <t>이커머스 대형</t>
        </is>
      </c>
      <c r="E67" s="4" t="inlineStr">
        <is>
          <t>2023</t>
        </is>
      </c>
      <c r="F67" s="8" t="inlineStr">
        <is>
          <t>I14</t>
        </is>
      </c>
      <c r="G67" s="4">
        <f>(I17*I18)</f>
        <v/>
      </c>
      <c r="H67" s="4" t="inlineStr">
        <is>
          <t>calculation</t>
        </is>
      </c>
    </row>
    <row r="68">
      <c r="B68" s="4" t="inlineStr">
        <is>
          <t>Model</t>
        </is>
      </c>
      <c r="C68" s="8" t="inlineStr">
        <is>
          <t>ec_large_rev</t>
        </is>
      </c>
      <c r="D68" s="4" t="inlineStr">
        <is>
          <t>이커머스 대형</t>
        </is>
      </c>
      <c r="E68" s="4" t="inlineStr">
        <is>
          <t>2024</t>
        </is>
      </c>
      <c r="F68" s="8" t="inlineStr">
        <is>
          <t>J14</t>
        </is>
      </c>
      <c r="G68" s="4">
        <f>(J17*J18)</f>
        <v/>
      </c>
      <c r="H68" s="4" t="inlineStr">
        <is>
          <t>calculation</t>
        </is>
      </c>
    </row>
    <row r="69">
      <c r="B69" s="4" t="inlineStr">
        <is>
          <t>Model</t>
        </is>
      </c>
      <c r="C69" s="8" t="inlineStr">
        <is>
          <t>ec_large_rev</t>
        </is>
      </c>
      <c r="D69" s="4" t="inlineStr">
        <is>
          <t>이커머스 대형</t>
        </is>
      </c>
      <c r="E69" s="4" t="inlineStr">
        <is>
          <t>2025</t>
        </is>
      </c>
      <c r="F69" s="8" t="inlineStr">
        <is>
          <t>K14</t>
        </is>
      </c>
      <c r="G69" s="4">
        <f>(K17*K18)</f>
        <v/>
      </c>
      <c r="H69" s="4" t="inlineStr">
        <is>
          <t>calculation</t>
        </is>
      </c>
    </row>
    <row r="70">
      <c r="B70" s="4" t="inlineStr">
        <is>
          <t>Model</t>
        </is>
      </c>
      <c r="C70" s="8" t="inlineStr">
        <is>
          <t>ec_large_rev</t>
        </is>
      </c>
      <c r="D70" s="4" t="inlineStr">
        <is>
          <t>이커머스 대형</t>
        </is>
      </c>
      <c r="E70" s="4" t="inlineStr">
        <is>
          <t>2026</t>
        </is>
      </c>
      <c r="F70" s="8" t="inlineStr">
        <is>
          <t>L14</t>
        </is>
      </c>
      <c r="G70" s="4">
        <f>(L17*L18)</f>
        <v/>
      </c>
      <c r="H70" s="4" t="inlineStr">
        <is>
          <t>calculation</t>
        </is>
      </c>
    </row>
    <row r="71">
      <c r="B71" s="4" t="inlineStr">
        <is>
          <t>Model</t>
        </is>
      </c>
      <c r="C71" s="8" t="inlineStr">
        <is>
          <t>ec_large_rev</t>
        </is>
      </c>
      <c r="D71" s="4" t="inlineStr">
        <is>
          <t>이커머스 대형</t>
        </is>
      </c>
      <c r="E71" s="4" t="inlineStr">
        <is>
          <t>2027</t>
        </is>
      </c>
      <c r="F71" s="8" t="inlineStr">
        <is>
          <t>M14</t>
        </is>
      </c>
      <c r="G71" s="4">
        <f>(M17*M18)</f>
        <v/>
      </c>
      <c r="H71" s="4" t="inlineStr">
        <is>
          <t>calculation</t>
        </is>
      </c>
    </row>
    <row r="72">
      <c r="B72" s="4" t="inlineStr">
        <is>
          <t>Model</t>
        </is>
      </c>
      <c r="C72" s="8" t="inlineStr">
        <is>
          <t>ec_large_rev</t>
        </is>
      </c>
      <c r="D72" s="4" t="inlineStr">
        <is>
          <t>이커머스 대형</t>
        </is>
      </c>
      <c r="E72" s="4" t="inlineStr">
        <is>
          <t>2028</t>
        </is>
      </c>
      <c r="F72" s="8" t="inlineStr">
        <is>
          <t>N14</t>
        </is>
      </c>
      <c r="G72" s="4">
        <f>(N17*N18)</f>
        <v/>
      </c>
      <c r="H72" s="4" t="inlineStr">
        <is>
          <t>calculation</t>
        </is>
      </c>
    </row>
    <row r="73">
      <c r="B73" s="4" t="inlineStr">
        <is>
          <t>Model</t>
        </is>
      </c>
      <c r="C73" s="8" t="inlineStr">
        <is>
          <t>ec_large_rev</t>
        </is>
      </c>
      <c r="D73" s="4" t="inlineStr">
        <is>
          <t>이커머스 대형</t>
        </is>
      </c>
      <c r="E73" s="4" t="inlineStr">
        <is>
          <t>2029</t>
        </is>
      </c>
      <c r="F73" s="8" t="inlineStr">
        <is>
          <t>O14</t>
        </is>
      </c>
      <c r="G73" s="4">
        <f>(O17*O18)</f>
        <v/>
      </c>
      <c r="H73" s="4" t="inlineStr">
        <is>
          <t>calculation</t>
        </is>
      </c>
    </row>
    <row r="74">
      <c r="B74" s="4" t="inlineStr">
        <is>
          <t>Model</t>
        </is>
      </c>
      <c r="C74" s="8" t="inlineStr">
        <is>
          <t>market_large</t>
        </is>
      </c>
      <c r="D74" s="4" t="inlineStr">
        <is>
          <t>대형 시장판매대수</t>
        </is>
      </c>
      <c r="E74" s="4" t="inlineStr">
        <is>
          <t>2023</t>
        </is>
      </c>
      <c r="F74" s="8" t="inlineStr">
        <is>
          <t>I15</t>
        </is>
      </c>
      <c r="G74" s="4">
        <f>'Assumptions'!I8</f>
        <v/>
      </c>
      <c r="H74" s="4" t="inlineStr">
        <is>
          <t>input link</t>
        </is>
      </c>
    </row>
    <row r="75">
      <c r="B75" s="4" t="inlineStr">
        <is>
          <t>Model</t>
        </is>
      </c>
      <c r="C75" s="8" t="inlineStr">
        <is>
          <t>market_large</t>
        </is>
      </c>
      <c r="D75" s="4" t="inlineStr">
        <is>
          <t>대형 시장판매대수</t>
        </is>
      </c>
      <c r="E75" s="4" t="inlineStr">
        <is>
          <t>2024</t>
        </is>
      </c>
      <c r="F75" s="8" t="inlineStr">
        <is>
          <t>J15</t>
        </is>
      </c>
      <c r="G75" s="4">
        <f>'Assumptions'!J8</f>
        <v/>
      </c>
      <c r="H75" s="4" t="inlineStr">
        <is>
          <t>input link</t>
        </is>
      </c>
    </row>
    <row r="76">
      <c r="B76" s="4" t="inlineStr">
        <is>
          <t>Model</t>
        </is>
      </c>
      <c r="C76" s="8" t="inlineStr">
        <is>
          <t>market_large</t>
        </is>
      </c>
      <c r="D76" s="4" t="inlineStr">
        <is>
          <t>대형 시장판매대수</t>
        </is>
      </c>
      <c r="E76" s="4" t="inlineStr">
        <is>
          <t>2025</t>
        </is>
      </c>
      <c r="F76" s="8" t="inlineStr">
        <is>
          <t>K15</t>
        </is>
      </c>
      <c r="G76" s="4">
        <f>'Assumptions'!K8</f>
        <v/>
      </c>
      <c r="H76" s="4" t="inlineStr">
        <is>
          <t>input link</t>
        </is>
      </c>
    </row>
    <row r="77">
      <c r="B77" s="4" t="inlineStr">
        <is>
          <t>Model</t>
        </is>
      </c>
      <c r="C77" s="8" t="inlineStr">
        <is>
          <t>market_large</t>
        </is>
      </c>
      <c r="D77" s="4" t="inlineStr">
        <is>
          <t>대형 시장판매대수</t>
        </is>
      </c>
      <c r="E77" s="4" t="inlineStr">
        <is>
          <t>2026</t>
        </is>
      </c>
      <c r="F77" s="8" t="inlineStr">
        <is>
          <t>L15</t>
        </is>
      </c>
      <c r="G77" s="4">
        <f>'Assumptions'!L8</f>
        <v/>
      </c>
      <c r="H77" s="4" t="inlineStr">
        <is>
          <t>input link</t>
        </is>
      </c>
    </row>
    <row r="78">
      <c r="B78" s="4" t="inlineStr">
        <is>
          <t>Model</t>
        </is>
      </c>
      <c r="C78" s="8" t="inlineStr">
        <is>
          <t>market_large</t>
        </is>
      </c>
      <c r="D78" s="4" t="inlineStr">
        <is>
          <t>대형 시장판매대수</t>
        </is>
      </c>
      <c r="E78" s="4" t="inlineStr">
        <is>
          <t>2027</t>
        </is>
      </c>
      <c r="F78" s="8" t="inlineStr">
        <is>
          <t>M15</t>
        </is>
      </c>
      <c r="G78" s="4">
        <f>'Assumptions'!M8</f>
        <v/>
      </c>
      <c r="H78" s="4" t="inlineStr">
        <is>
          <t>input link</t>
        </is>
      </c>
    </row>
    <row r="79">
      <c r="B79" s="4" t="inlineStr">
        <is>
          <t>Model</t>
        </is>
      </c>
      <c r="C79" s="8" t="inlineStr">
        <is>
          <t>market_large</t>
        </is>
      </c>
      <c r="D79" s="4" t="inlineStr">
        <is>
          <t>대형 시장판매대수</t>
        </is>
      </c>
      <c r="E79" s="4" t="inlineStr">
        <is>
          <t>2028</t>
        </is>
      </c>
      <c r="F79" s="8" t="inlineStr">
        <is>
          <t>N15</t>
        </is>
      </c>
      <c r="G79" s="4">
        <f>'Assumptions'!N8</f>
        <v/>
      </c>
      <c r="H79" s="4" t="inlineStr">
        <is>
          <t>input link</t>
        </is>
      </c>
    </row>
    <row r="80">
      <c r="B80" s="4" t="inlineStr">
        <is>
          <t>Model</t>
        </is>
      </c>
      <c r="C80" s="8" t="inlineStr">
        <is>
          <t>market_large</t>
        </is>
      </c>
      <c r="D80" s="4" t="inlineStr">
        <is>
          <t>대형 시장판매대수</t>
        </is>
      </c>
      <c r="E80" s="4" t="inlineStr">
        <is>
          <t>2029</t>
        </is>
      </c>
      <c r="F80" s="8" t="inlineStr">
        <is>
          <t>O15</t>
        </is>
      </c>
      <c r="G80" s="4">
        <f>'Assumptions'!O8</f>
        <v/>
      </c>
      <c r="H80" s="4" t="inlineStr">
        <is>
          <t>input link</t>
        </is>
      </c>
    </row>
    <row r="81">
      <c r="B81" s="4" t="inlineStr">
        <is>
          <t>Model</t>
        </is>
      </c>
      <c r="C81" s="8" t="inlineStr">
        <is>
          <t>ec_large_share</t>
        </is>
      </c>
      <c r="D81" s="4" t="inlineStr">
        <is>
          <t>이커머스 대형 점유율</t>
        </is>
      </c>
      <c r="E81" s="4" t="inlineStr">
        <is>
          <t>2023</t>
        </is>
      </c>
      <c r="F81" s="8" t="inlineStr">
        <is>
          <t>I16</t>
        </is>
      </c>
      <c r="G81" s="4">
        <f>'Assumptions'!I9</f>
        <v/>
      </c>
      <c r="H81" s="4" t="inlineStr">
        <is>
          <t>input link</t>
        </is>
      </c>
    </row>
    <row r="82">
      <c r="B82" s="4" t="inlineStr">
        <is>
          <t>Model</t>
        </is>
      </c>
      <c r="C82" s="8" t="inlineStr">
        <is>
          <t>ec_large_share</t>
        </is>
      </c>
      <c r="D82" s="4" t="inlineStr">
        <is>
          <t>이커머스 대형 점유율</t>
        </is>
      </c>
      <c r="E82" s="4" t="inlineStr">
        <is>
          <t>2024</t>
        </is>
      </c>
      <c r="F82" s="8" t="inlineStr">
        <is>
          <t>J16</t>
        </is>
      </c>
      <c r="G82" s="4">
        <f>'Assumptions'!J9</f>
        <v/>
      </c>
      <c r="H82" s="4" t="inlineStr">
        <is>
          <t>input link</t>
        </is>
      </c>
    </row>
    <row r="83">
      <c r="B83" s="4" t="inlineStr">
        <is>
          <t>Model</t>
        </is>
      </c>
      <c r="C83" s="8" t="inlineStr">
        <is>
          <t>ec_large_share</t>
        </is>
      </c>
      <c r="D83" s="4" t="inlineStr">
        <is>
          <t>이커머스 대형 점유율</t>
        </is>
      </c>
      <c r="E83" s="4" t="inlineStr">
        <is>
          <t>2025</t>
        </is>
      </c>
      <c r="F83" s="8" t="inlineStr">
        <is>
          <t>K16</t>
        </is>
      </c>
      <c r="G83" s="4">
        <f>'Assumptions'!K9</f>
        <v/>
      </c>
      <c r="H83" s="4" t="inlineStr">
        <is>
          <t>input link</t>
        </is>
      </c>
    </row>
    <row r="84">
      <c r="B84" s="4" t="inlineStr">
        <is>
          <t>Model</t>
        </is>
      </c>
      <c r="C84" s="8" t="inlineStr">
        <is>
          <t>ec_large_share</t>
        </is>
      </c>
      <c r="D84" s="4" t="inlineStr">
        <is>
          <t>이커머스 대형 점유율</t>
        </is>
      </c>
      <c r="E84" s="4" t="inlineStr">
        <is>
          <t>2026</t>
        </is>
      </c>
      <c r="F84" s="8" t="inlineStr">
        <is>
          <t>L16</t>
        </is>
      </c>
      <c r="G84" s="4">
        <f>'Assumptions'!L9</f>
        <v/>
      </c>
      <c r="H84" s="4" t="inlineStr">
        <is>
          <t>input link</t>
        </is>
      </c>
    </row>
    <row r="85">
      <c r="B85" s="4" t="inlineStr">
        <is>
          <t>Model</t>
        </is>
      </c>
      <c r="C85" s="8" t="inlineStr">
        <is>
          <t>ec_large_share</t>
        </is>
      </c>
      <c r="D85" s="4" t="inlineStr">
        <is>
          <t>이커머스 대형 점유율</t>
        </is>
      </c>
      <c r="E85" s="4" t="inlineStr">
        <is>
          <t>2027</t>
        </is>
      </c>
      <c r="F85" s="8" t="inlineStr">
        <is>
          <t>M16</t>
        </is>
      </c>
      <c r="G85" s="4">
        <f>'Assumptions'!M9</f>
        <v/>
      </c>
      <c r="H85" s="4" t="inlineStr">
        <is>
          <t>input link</t>
        </is>
      </c>
    </row>
    <row r="86">
      <c r="B86" s="4" t="inlineStr">
        <is>
          <t>Model</t>
        </is>
      </c>
      <c r="C86" s="8" t="inlineStr">
        <is>
          <t>ec_large_share</t>
        </is>
      </c>
      <c r="D86" s="4" t="inlineStr">
        <is>
          <t>이커머스 대형 점유율</t>
        </is>
      </c>
      <c r="E86" s="4" t="inlineStr">
        <is>
          <t>2028</t>
        </is>
      </c>
      <c r="F86" s="8" t="inlineStr">
        <is>
          <t>N16</t>
        </is>
      </c>
      <c r="G86" s="4">
        <f>'Assumptions'!N9</f>
        <v/>
      </c>
      <c r="H86" s="4" t="inlineStr">
        <is>
          <t>input link</t>
        </is>
      </c>
    </row>
    <row r="87">
      <c r="B87" s="4" t="inlineStr">
        <is>
          <t>Model</t>
        </is>
      </c>
      <c r="C87" s="8" t="inlineStr">
        <is>
          <t>ec_large_share</t>
        </is>
      </c>
      <c r="D87" s="4" t="inlineStr">
        <is>
          <t>이커머스 대형 점유율</t>
        </is>
      </c>
      <c r="E87" s="4" t="inlineStr">
        <is>
          <t>2029</t>
        </is>
      </c>
      <c r="F87" s="8" t="inlineStr">
        <is>
          <t>O16</t>
        </is>
      </c>
      <c r="G87" s="4">
        <f>'Assumptions'!O9</f>
        <v/>
      </c>
      <c r="H87" s="4" t="inlineStr">
        <is>
          <t>input link</t>
        </is>
      </c>
    </row>
    <row r="88">
      <c r="B88" s="4" t="inlineStr">
        <is>
          <t>Model</t>
        </is>
      </c>
      <c r="C88" s="8" t="inlineStr">
        <is>
          <t>ec_large_volume</t>
        </is>
      </c>
      <c r="D88" s="4" t="inlineStr">
        <is>
          <t>이커머스 대형 판매대수</t>
        </is>
      </c>
      <c r="E88" s="4" t="inlineStr">
        <is>
          <t>2023</t>
        </is>
      </c>
      <c r="F88" s="8" t="inlineStr">
        <is>
          <t>I17</t>
        </is>
      </c>
      <c r="G88" s="4">
        <f>(I15*I16)</f>
        <v/>
      </c>
      <c r="H88" s="4" t="inlineStr">
        <is>
          <t>calculation</t>
        </is>
      </c>
    </row>
    <row r="89">
      <c r="B89" s="4" t="inlineStr">
        <is>
          <t>Model</t>
        </is>
      </c>
      <c r="C89" s="8" t="inlineStr">
        <is>
          <t>ec_large_volume</t>
        </is>
      </c>
      <c r="D89" s="4" t="inlineStr">
        <is>
          <t>이커머스 대형 판매대수</t>
        </is>
      </c>
      <c r="E89" s="4" t="inlineStr">
        <is>
          <t>2024</t>
        </is>
      </c>
      <c r="F89" s="8" t="inlineStr">
        <is>
          <t>J17</t>
        </is>
      </c>
      <c r="G89" s="4">
        <f>(J15*J16)</f>
        <v/>
      </c>
      <c r="H89" s="4" t="inlineStr">
        <is>
          <t>calculation</t>
        </is>
      </c>
    </row>
    <row r="90">
      <c r="B90" s="4" t="inlineStr">
        <is>
          <t>Model</t>
        </is>
      </c>
      <c r="C90" s="8" t="inlineStr">
        <is>
          <t>ec_large_volume</t>
        </is>
      </c>
      <c r="D90" s="4" t="inlineStr">
        <is>
          <t>이커머스 대형 판매대수</t>
        </is>
      </c>
      <c r="E90" s="4" t="inlineStr">
        <is>
          <t>2025</t>
        </is>
      </c>
      <c r="F90" s="8" t="inlineStr">
        <is>
          <t>K17</t>
        </is>
      </c>
      <c r="G90" s="4">
        <f>(K15*K16)</f>
        <v/>
      </c>
      <c r="H90" s="4" t="inlineStr">
        <is>
          <t>calculation</t>
        </is>
      </c>
    </row>
    <row r="91">
      <c r="B91" s="4" t="inlineStr">
        <is>
          <t>Model</t>
        </is>
      </c>
      <c r="C91" s="8" t="inlineStr">
        <is>
          <t>ec_large_volume</t>
        </is>
      </c>
      <c r="D91" s="4" t="inlineStr">
        <is>
          <t>이커머스 대형 판매대수</t>
        </is>
      </c>
      <c r="E91" s="4" t="inlineStr">
        <is>
          <t>2026</t>
        </is>
      </c>
      <c r="F91" s="8" t="inlineStr">
        <is>
          <t>L17</t>
        </is>
      </c>
      <c r="G91" s="4">
        <f>(L15*L16)</f>
        <v/>
      </c>
      <c r="H91" s="4" t="inlineStr">
        <is>
          <t>calculation</t>
        </is>
      </c>
    </row>
    <row r="92">
      <c r="B92" s="4" t="inlineStr">
        <is>
          <t>Model</t>
        </is>
      </c>
      <c r="C92" s="8" t="inlineStr">
        <is>
          <t>ec_large_volume</t>
        </is>
      </c>
      <c r="D92" s="4" t="inlineStr">
        <is>
          <t>이커머스 대형 판매대수</t>
        </is>
      </c>
      <c r="E92" s="4" t="inlineStr">
        <is>
          <t>2027</t>
        </is>
      </c>
      <c r="F92" s="8" t="inlineStr">
        <is>
          <t>M17</t>
        </is>
      </c>
      <c r="G92" s="4">
        <f>(M15*M16)</f>
        <v/>
      </c>
      <c r="H92" s="4" t="inlineStr">
        <is>
          <t>calculation</t>
        </is>
      </c>
    </row>
    <row r="93">
      <c r="B93" s="4" t="inlineStr">
        <is>
          <t>Model</t>
        </is>
      </c>
      <c r="C93" s="8" t="inlineStr">
        <is>
          <t>ec_large_volume</t>
        </is>
      </c>
      <c r="D93" s="4" t="inlineStr">
        <is>
          <t>이커머스 대형 판매대수</t>
        </is>
      </c>
      <c r="E93" s="4" t="inlineStr">
        <is>
          <t>2028</t>
        </is>
      </c>
      <c r="F93" s="8" t="inlineStr">
        <is>
          <t>N17</t>
        </is>
      </c>
      <c r="G93" s="4">
        <f>(N15*N16)</f>
        <v/>
      </c>
      <c r="H93" s="4" t="inlineStr">
        <is>
          <t>calculation</t>
        </is>
      </c>
    </row>
    <row r="94">
      <c r="B94" s="4" t="inlineStr">
        <is>
          <t>Model</t>
        </is>
      </c>
      <c r="C94" s="8" t="inlineStr">
        <is>
          <t>ec_large_volume</t>
        </is>
      </c>
      <c r="D94" s="4" t="inlineStr">
        <is>
          <t>이커머스 대형 판매대수</t>
        </is>
      </c>
      <c r="E94" s="4" t="inlineStr">
        <is>
          <t>2029</t>
        </is>
      </c>
      <c r="F94" s="8" t="inlineStr">
        <is>
          <t>O17</t>
        </is>
      </c>
      <c r="G94" s="4">
        <f>(O15*O16)</f>
        <v/>
      </c>
      <c r="H94" s="4" t="inlineStr">
        <is>
          <t>calculation</t>
        </is>
      </c>
    </row>
    <row r="95">
      <c r="B95" s="4" t="inlineStr">
        <is>
          <t>Model</t>
        </is>
      </c>
      <c r="C95" s="8" t="inlineStr">
        <is>
          <t>ec_large_asp</t>
        </is>
      </c>
      <c r="D95" s="4" t="inlineStr">
        <is>
          <t>이커머스 대형 ASP</t>
        </is>
      </c>
      <c r="E95" s="4" t="inlineStr">
        <is>
          <t>2023</t>
        </is>
      </c>
      <c r="F95" s="8" t="inlineStr">
        <is>
          <t>I18</t>
        </is>
      </c>
      <c r="G95" s="4">
        <f>'Assumptions'!I10</f>
        <v/>
      </c>
      <c r="H95" s="4" t="inlineStr">
        <is>
          <t>input link</t>
        </is>
      </c>
    </row>
    <row r="96">
      <c r="B96" s="4" t="inlineStr">
        <is>
          <t>Model</t>
        </is>
      </c>
      <c r="C96" s="8" t="inlineStr">
        <is>
          <t>ec_large_asp</t>
        </is>
      </c>
      <c r="D96" s="4" t="inlineStr">
        <is>
          <t>이커머스 대형 ASP</t>
        </is>
      </c>
      <c r="E96" s="4" t="inlineStr">
        <is>
          <t>2024</t>
        </is>
      </c>
      <c r="F96" s="8" t="inlineStr">
        <is>
          <t>J18</t>
        </is>
      </c>
      <c r="G96" s="4">
        <f>'Assumptions'!J10</f>
        <v/>
      </c>
      <c r="H96" s="4" t="inlineStr">
        <is>
          <t>input link</t>
        </is>
      </c>
    </row>
    <row r="97">
      <c r="B97" s="4" t="inlineStr">
        <is>
          <t>Model</t>
        </is>
      </c>
      <c r="C97" s="8" t="inlineStr">
        <is>
          <t>ec_large_asp</t>
        </is>
      </c>
      <c r="D97" s="4" t="inlineStr">
        <is>
          <t>이커머스 대형 ASP</t>
        </is>
      </c>
      <c r="E97" s="4" t="inlineStr">
        <is>
          <t>2025</t>
        </is>
      </c>
      <c r="F97" s="8" t="inlineStr">
        <is>
          <t>K18</t>
        </is>
      </c>
      <c r="G97" s="4">
        <f>'Assumptions'!K10</f>
        <v/>
      </c>
      <c r="H97" s="4" t="inlineStr">
        <is>
          <t>input link</t>
        </is>
      </c>
    </row>
    <row r="98">
      <c r="B98" s="4" t="inlineStr">
        <is>
          <t>Model</t>
        </is>
      </c>
      <c r="C98" s="8" t="inlineStr">
        <is>
          <t>ec_large_asp</t>
        </is>
      </c>
      <c r="D98" s="4" t="inlineStr">
        <is>
          <t>이커머스 대형 ASP</t>
        </is>
      </c>
      <c r="E98" s="4" t="inlineStr">
        <is>
          <t>2026</t>
        </is>
      </c>
      <c r="F98" s="8" t="inlineStr">
        <is>
          <t>L18</t>
        </is>
      </c>
      <c r="G98" s="4">
        <f>'Assumptions'!L10</f>
        <v/>
      </c>
      <c r="H98" s="4" t="inlineStr">
        <is>
          <t>input link</t>
        </is>
      </c>
    </row>
    <row r="99">
      <c r="B99" s="4" t="inlineStr">
        <is>
          <t>Model</t>
        </is>
      </c>
      <c r="C99" s="8" t="inlineStr">
        <is>
          <t>ec_large_asp</t>
        </is>
      </c>
      <c r="D99" s="4" t="inlineStr">
        <is>
          <t>이커머스 대형 ASP</t>
        </is>
      </c>
      <c r="E99" s="4" t="inlineStr">
        <is>
          <t>2027</t>
        </is>
      </c>
      <c r="F99" s="8" t="inlineStr">
        <is>
          <t>M18</t>
        </is>
      </c>
      <c r="G99" s="4">
        <f>'Assumptions'!M10</f>
        <v/>
      </c>
      <c r="H99" s="4" t="inlineStr">
        <is>
          <t>input link</t>
        </is>
      </c>
    </row>
    <row r="100">
      <c r="B100" s="4" t="inlineStr">
        <is>
          <t>Model</t>
        </is>
      </c>
      <c r="C100" s="8" t="inlineStr">
        <is>
          <t>ec_large_asp</t>
        </is>
      </c>
      <c r="D100" s="4" t="inlineStr">
        <is>
          <t>이커머스 대형 ASP</t>
        </is>
      </c>
      <c r="E100" s="4" t="inlineStr">
        <is>
          <t>2028</t>
        </is>
      </c>
      <c r="F100" s="8" t="inlineStr">
        <is>
          <t>N18</t>
        </is>
      </c>
      <c r="G100" s="4">
        <f>'Assumptions'!N10</f>
        <v/>
      </c>
      <c r="H100" s="4" t="inlineStr">
        <is>
          <t>input link</t>
        </is>
      </c>
    </row>
    <row r="101">
      <c r="B101" s="4" t="inlineStr">
        <is>
          <t>Model</t>
        </is>
      </c>
      <c r="C101" s="8" t="inlineStr">
        <is>
          <t>ec_large_asp</t>
        </is>
      </c>
      <c r="D101" s="4" t="inlineStr">
        <is>
          <t>이커머스 대형 ASP</t>
        </is>
      </c>
      <c r="E101" s="4" t="inlineStr">
        <is>
          <t>2029</t>
        </is>
      </c>
      <c r="F101" s="8" t="inlineStr">
        <is>
          <t>O18</t>
        </is>
      </c>
      <c r="G101" s="4">
        <f>'Assumptions'!O10</f>
        <v/>
      </c>
      <c r="H101" s="4" t="inlineStr">
        <is>
          <t>input link</t>
        </is>
      </c>
    </row>
    <row r="102">
      <c r="B102" s="4" t="inlineStr">
        <is>
          <t>Model</t>
        </is>
      </c>
      <c r="C102" s="8" t="inlineStr">
        <is>
          <t>ec_midsize_rev</t>
        </is>
      </c>
      <c r="D102" s="4" t="inlineStr">
        <is>
          <t>이커머스 중형</t>
        </is>
      </c>
      <c r="E102" s="4" t="inlineStr">
        <is>
          <t>2023</t>
        </is>
      </c>
      <c r="F102" s="8" t="inlineStr">
        <is>
          <t>I19</t>
        </is>
      </c>
      <c r="G102" s="4">
        <f>(I22*I23)</f>
        <v/>
      </c>
      <c r="H102" s="4" t="inlineStr">
        <is>
          <t>calculation</t>
        </is>
      </c>
    </row>
    <row r="103">
      <c r="B103" s="4" t="inlineStr">
        <is>
          <t>Model</t>
        </is>
      </c>
      <c r="C103" s="8" t="inlineStr">
        <is>
          <t>ec_midsize_rev</t>
        </is>
      </c>
      <c r="D103" s="4" t="inlineStr">
        <is>
          <t>이커머스 중형</t>
        </is>
      </c>
      <c r="E103" s="4" t="inlineStr">
        <is>
          <t>2024</t>
        </is>
      </c>
      <c r="F103" s="8" t="inlineStr">
        <is>
          <t>J19</t>
        </is>
      </c>
      <c r="G103" s="4">
        <f>(J22*J23)</f>
        <v/>
      </c>
      <c r="H103" s="4" t="inlineStr">
        <is>
          <t>calculation</t>
        </is>
      </c>
    </row>
    <row r="104">
      <c r="B104" s="4" t="inlineStr">
        <is>
          <t>Model</t>
        </is>
      </c>
      <c r="C104" s="8" t="inlineStr">
        <is>
          <t>ec_midsize_rev</t>
        </is>
      </c>
      <c r="D104" s="4" t="inlineStr">
        <is>
          <t>이커머스 중형</t>
        </is>
      </c>
      <c r="E104" s="4" t="inlineStr">
        <is>
          <t>2025</t>
        </is>
      </c>
      <c r="F104" s="8" t="inlineStr">
        <is>
          <t>K19</t>
        </is>
      </c>
      <c r="G104" s="4">
        <f>(K22*K23)</f>
        <v/>
      </c>
      <c r="H104" s="4" t="inlineStr">
        <is>
          <t>calculation</t>
        </is>
      </c>
    </row>
    <row r="105">
      <c r="B105" s="4" t="inlineStr">
        <is>
          <t>Model</t>
        </is>
      </c>
      <c r="C105" s="8" t="inlineStr">
        <is>
          <t>ec_midsize_rev</t>
        </is>
      </c>
      <c r="D105" s="4" t="inlineStr">
        <is>
          <t>이커머스 중형</t>
        </is>
      </c>
      <c r="E105" s="4" t="inlineStr">
        <is>
          <t>2026</t>
        </is>
      </c>
      <c r="F105" s="8" t="inlineStr">
        <is>
          <t>L19</t>
        </is>
      </c>
      <c r="G105" s="4">
        <f>(L22*L23)</f>
        <v/>
      </c>
      <c r="H105" s="4" t="inlineStr">
        <is>
          <t>calculation</t>
        </is>
      </c>
    </row>
    <row r="106">
      <c r="B106" s="4" t="inlineStr">
        <is>
          <t>Model</t>
        </is>
      </c>
      <c r="C106" s="8" t="inlineStr">
        <is>
          <t>ec_midsize_rev</t>
        </is>
      </c>
      <c r="D106" s="4" t="inlineStr">
        <is>
          <t>이커머스 중형</t>
        </is>
      </c>
      <c r="E106" s="4" t="inlineStr">
        <is>
          <t>2027</t>
        </is>
      </c>
      <c r="F106" s="8" t="inlineStr">
        <is>
          <t>M19</t>
        </is>
      </c>
      <c r="G106" s="4">
        <f>(M22*M23)</f>
        <v/>
      </c>
      <c r="H106" s="4" t="inlineStr">
        <is>
          <t>calculation</t>
        </is>
      </c>
    </row>
    <row r="107">
      <c r="B107" s="4" t="inlineStr">
        <is>
          <t>Model</t>
        </is>
      </c>
      <c r="C107" s="8" t="inlineStr">
        <is>
          <t>ec_midsize_rev</t>
        </is>
      </c>
      <c r="D107" s="4" t="inlineStr">
        <is>
          <t>이커머스 중형</t>
        </is>
      </c>
      <c r="E107" s="4" t="inlineStr">
        <is>
          <t>2028</t>
        </is>
      </c>
      <c r="F107" s="8" t="inlineStr">
        <is>
          <t>N19</t>
        </is>
      </c>
      <c r="G107" s="4">
        <f>(N22*N23)</f>
        <v/>
      </c>
      <c r="H107" s="4" t="inlineStr">
        <is>
          <t>calculation</t>
        </is>
      </c>
    </row>
    <row r="108">
      <c r="B108" s="4" t="inlineStr">
        <is>
          <t>Model</t>
        </is>
      </c>
      <c r="C108" s="8" t="inlineStr">
        <is>
          <t>ec_midsize_rev</t>
        </is>
      </c>
      <c r="D108" s="4" t="inlineStr">
        <is>
          <t>이커머스 중형</t>
        </is>
      </c>
      <c r="E108" s="4" t="inlineStr">
        <is>
          <t>2029</t>
        </is>
      </c>
      <c r="F108" s="8" t="inlineStr">
        <is>
          <t>O19</t>
        </is>
      </c>
      <c r="G108" s="4">
        <f>(O22*O23)</f>
        <v/>
      </c>
      <c r="H108" s="4" t="inlineStr">
        <is>
          <t>calculation</t>
        </is>
      </c>
    </row>
    <row r="109">
      <c r="B109" s="4" t="inlineStr">
        <is>
          <t>Model</t>
        </is>
      </c>
      <c r="C109" s="8" t="inlineStr">
        <is>
          <t>market_midsize</t>
        </is>
      </c>
      <c r="D109" s="4" t="inlineStr">
        <is>
          <t>중형 시장판매대수</t>
        </is>
      </c>
      <c r="E109" s="4" t="inlineStr">
        <is>
          <t>2023</t>
        </is>
      </c>
      <c r="F109" s="8" t="inlineStr">
        <is>
          <t>I20</t>
        </is>
      </c>
      <c r="G109" s="4">
        <f>'Assumptions'!I11</f>
        <v/>
      </c>
      <c r="H109" s="4" t="inlineStr">
        <is>
          <t>input link</t>
        </is>
      </c>
    </row>
    <row r="110">
      <c r="B110" s="4" t="inlineStr">
        <is>
          <t>Model</t>
        </is>
      </c>
      <c r="C110" s="8" t="inlineStr">
        <is>
          <t>market_midsize</t>
        </is>
      </c>
      <c r="D110" s="4" t="inlineStr">
        <is>
          <t>중형 시장판매대수</t>
        </is>
      </c>
      <c r="E110" s="4" t="inlineStr">
        <is>
          <t>2024</t>
        </is>
      </c>
      <c r="F110" s="8" t="inlineStr">
        <is>
          <t>J20</t>
        </is>
      </c>
      <c r="G110" s="4">
        <f>'Assumptions'!J11</f>
        <v/>
      </c>
      <c r="H110" s="4" t="inlineStr">
        <is>
          <t>input link</t>
        </is>
      </c>
    </row>
    <row r="111">
      <c r="B111" s="4" t="inlineStr">
        <is>
          <t>Model</t>
        </is>
      </c>
      <c r="C111" s="8" t="inlineStr">
        <is>
          <t>market_midsize</t>
        </is>
      </c>
      <c r="D111" s="4" t="inlineStr">
        <is>
          <t>중형 시장판매대수</t>
        </is>
      </c>
      <c r="E111" s="4" t="inlineStr">
        <is>
          <t>2025</t>
        </is>
      </c>
      <c r="F111" s="8" t="inlineStr">
        <is>
          <t>K20</t>
        </is>
      </c>
      <c r="G111" s="4">
        <f>'Assumptions'!K11</f>
        <v/>
      </c>
      <c r="H111" s="4" t="inlineStr">
        <is>
          <t>input link</t>
        </is>
      </c>
    </row>
    <row r="112">
      <c r="B112" s="4" t="inlineStr">
        <is>
          <t>Model</t>
        </is>
      </c>
      <c r="C112" s="8" t="inlineStr">
        <is>
          <t>market_midsize</t>
        </is>
      </c>
      <c r="D112" s="4" t="inlineStr">
        <is>
          <t>중형 시장판매대수</t>
        </is>
      </c>
      <c r="E112" s="4" t="inlineStr">
        <is>
          <t>2026</t>
        </is>
      </c>
      <c r="F112" s="8" t="inlineStr">
        <is>
          <t>L20</t>
        </is>
      </c>
      <c r="G112" s="4">
        <f>'Assumptions'!L11</f>
        <v/>
      </c>
      <c r="H112" s="4" t="inlineStr">
        <is>
          <t>input link</t>
        </is>
      </c>
    </row>
    <row r="113">
      <c r="B113" s="4" t="inlineStr">
        <is>
          <t>Model</t>
        </is>
      </c>
      <c r="C113" s="8" t="inlineStr">
        <is>
          <t>market_midsize</t>
        </is>
      </c>
      <c r="D113" s="4" t="inlineStr">
        <is>
          <t>중형 시장판매대수</t>
        </is>
      </c>
      <c r="E113" s="4" t="inlineStr">
        <is>
          <t>2027</t>
        </is>
      </c>
      <c r="F113" s="8" t="inlineStr">
        <is>
          <t>M20</t>
        </is>
      </c>
      <c r="G113" s="4">
        <f>'Assumptions'!M11</f>
        <v/>
      </c>
      <c r="H113" s="4" t="inlineStr">
        <is>
          <t>input link</t>
        </is>
      </c>
    </row>
    <row r="114">
      <c r="B114" s="4" t="inlineStr">
        <is>
          <t>Model</t>
        </is>
      </c>
      <c r="C114" s="8" t="inlineStr">
        <is>
          <t>market_midsize</t>
        </is>
      </c>
      <c r="D114" s="4" t="inlineStr">
        <is>
          <t>중형 시장판매대수</t>
        </is>
      </c>
      <c r="E114" s="4" t="inlineStr">
        <is>
          <t>2028</t>
        </is>
      </c>
      <c r="F114" s="8" t="inlineStr">
        <is>
          <t>N20</t>
        </is>
      </c>
      <c r="G114" s="4">
        <f>'Assumptions'!N11</f>
        <v/>
      </c>
      <c r="H114" s="4" t="inlineStr">
        <is>
          <t>input link</t>
        </is>
      </c>
    </row>
    <row r="115">
      <c r="B115" s="4" t="inlineStr">
        <is>
          <t>Model</t>
        </is>
      </c>
      <c r="C115" s="8" t="inlineStr">
        <is>
          <t>market_midsize</t>
        </is>
      </c>
      <c r="D115" s="4" t="inlineStr">
        <is>
          <t>중형 시장판매대수</t>
        </is>
      </c>
      <c r="E115" s="4" t="inlineStr">
        <is>
          <t>2029</t>
        </is>
      </c>
      <c r="F115" s="8" t="inlineStr">
        <is>
          <t>O20</t>
        </is>
      </c>
      <c r="G115" s="4">
        <f>'Assumptions'!O11</f>
        <v/>
      </c>
      <c r="H115" s="4" t="inlineStr">
        <is>
          <t>input link</t>
        </is>
      </c>
    </row>
    <row r="116">
      <c r="B116" s="4" t="inlineStr">
        <is>
          <t>Model</t>
        </is>
      </c>
      <c r="C116" s="8" t="inlineStr">
        <is>
          <t>ec_midsize_share</t>
        </is>
      </c>
      <c r="D116" s="4" t="inlineStr">
        <is>
          <t>이커머스 중형 점유율</t>
        </is>
      </c>
      <c r="E116" s="4" t="inlineStr">
        <is>
          <t>2023</t>
        </is>
      </c>
      <c r="F116" s="8" t="inlineStr">
        <is>
          <t>I21</t>
        </is>
      </c>
      <c r="G116" s="4">
        <f>'Assumptions'!I12</f>
        <v/>
      </c>
      <c r="H116" s="4" t="inlineStr">
        <is>
          <t>input link</t>
        </is>
      </c>
    </row>
    <row r="117">
      <c r="B117" s="4" t="inlineStr">
        <is>
          <t>Model</t>
        </is>
      </c>
      <c r="C117" s="8" t="inlineStr">
        <is>
          <t>ec_midsize_share</t>
        </is>
      </c>
      <c r="D117" s="4" t="inlineStr">
        <is>
          <t>이커머스 중형 점유율</t>
        </is>
      </c>
      <c r="E117" s="4" t="inlineStr">
        <is>
          <t>2024</t>
        </is>
      </c>
      <c r="F117" s="8" t="inlineStr">
        <is>
          <t>J21</t>
        </is>
      </c>
      <c r="G117" s="4">
        <f>'Assumptions'!J12</f>
        <v/>
      </c>
      <c r="H117" s="4" t="inlineStr">
        <is>
          <t>input link</t>
        </is>
      </c>
    </row>
    <row r="118">
      <c r="B118" s="4" t="inlineStr">
        <is>
          <t>Model</t>
        </is>
      </c>
      <c r="C118" s="8" t="inlineStr">
        <is>
          <t>ec_midsize_share</t>
        </is>
      </c>
      <c r="D118" s="4" t="inlineStr">
        <is>
          <t>이커머스 중형 점유율</t>
        </is>
      </c>
      <c r="E118" s="4" t="inlineStr">
        <is>
          <t>2025</t>
        </is>
      </c>
      <c r="F118" s="8" t="inlineStr">
        <is>
          <t>K21</t>
        </is>
      </c>
      <c r="G118" s="4">
        <f>'Assumptions'!K12</f>
        <v/>
      </c>
      <c r="H118" s="4" t="inlineStr">
        <is>
          <t>input link</t>
        </is>
      </c>
    </row>
    <row r="119">
      <c r="B119" s="4" t="inlineStr">
        <is>
          <t>Model</t>
        </is>
      </c>
      <c r="C119" s="8" t="inlineStr">
        <is>
          <t>ec_midsize_share</t>
        </is>
      </c>
      <c r="D119" s="4" t="inlineStr">
        <is>
          <t>이커머스 중형 점유율</t>
        </is>
      </c>
      <c r="E119" s="4" t="inlineStr">
        <is>
          <t>2026</t>
        </is>
      </c>
      <c r="F119" s="8" t="inlineStr">
        <is>
          <t>L21</t>
        </is>
      </c>
      <c r="G119" s="4">
        <f>'Assumptions'!L12</f>
        <v/>
      </c>
      <c r="H119" s="4" t="inlineStr">
        <is>
          <t>input link</t>
        </is>
      </c>
    </row>
    <row r="120">
      <c r="B120" s="4" t="inlineStr">
        <is>
          <t>Model</t>
        </is>
      </c>
      <c r="C120" s="8" t="inlineStr">
        <is>
          <t>ec_midsize_share</t>
        </is>
      </c>
      <c r="D120" s="4" t="inlineStr">
        <is>
          <t>이커머스 중형 점유율</t>
        </is>
      </c>
      <c r="E120" s="4" t="inlineStr">
        <is>
          <t>2027</t>
        </is>
      </c>
      <c r="F120" s="8" t="inlineStr">
        <is>
          <t>M21</t>
        </is>
      </c>
      <c r="G120" s="4">
        <f>'Assumptions'!M12</f>
        <v/>
      </c>
      <c r="H120" s="4" t="inlineStr">
        <is>
          <t>input link</t>
        </is>
      </c>
    </row>
    <row r="121">
      <c r="B121" s="4" t="inlineStr">
        <is>
          <t>Model</t>
        </is>
      </c>
      <c r="C121" s="8" t="inlineStr">
        <is>
          <t>ec_midsize_share</t>
        </is>
      </c>
      <c r="D121" s="4" t="inlineStr">
        <is>
          <t>이커머스 중형 점유율</t>
        </is>
      </c>
      <c r="E121" s="4" t="inlineStr">
        <is>
          <t>2028</t>
        </is>
      </c>
      <c r="F121" s="8" t="inlineStr">
        <is>
          <t>N21</t>
        </is>
      </c>
      <c r="G121" s="4">
        <f>'Assumptions'!N12</f>
        <v/>
      </c>
      <c r="H121" s="4" t="inlineStr">
        <is>
          <t>input link</t>
        </is>
      </c>
    </row>
    <row r="122">
      <c r="B122" s="4" t="inlineStr">
        <is>
          <t>Model</t>
        </is>
      </c>
      <c r="C122" s="8" t="inlineStr">
        <is>
          <t>ec_midsize_share</t>
        </is>
      </c>
      <c r="D122" s="4" t="inlineStr">
        <is>
          <t>이커머스 중형 점유율</t>
        </is>
      </c>
      <c r="E122" s="4" t="inlineStr">
        <is>
          <t>2029</t>
        </is>
      </c>
      <c r="F122" s="8" t="inlineStr">
        <is>
          <t>O21</t>
        </is>
      </c>
      <c r="G122" s="4">
        <f>'Assumptions'!O12</f>
        <v/>
      </c>
      <c r="H122" s="4" t="inlineStr">
        <is>
          <t>input link</t>
        </is>
      </c>
    </row>
    <row r="123">
      <c r="B123" s="4" t="inlineStr">
        <is>
          <t>Model</t>
        </is>
      </c>
      <c r="C123" s="8" t="inlineStr">
        <is>
          <t>ec_midsize_volume</t>
        </is>
      </c>
      <c r="D123" s="4" t="inlineStr">
        <is>
          <t>이커머스 중형 판매대수</t>
        </is>
      </c>
      <c r="E123" s="4" t="inlineStr">
        <is>
          <t>2023</t>
        </is>
      </c>
      <c r="F123" s="8" t="inlineStr">
        <is>
          <t>I22</t>
        </is>
      </c>
      <c r="G123" s="4">
        <f>(I20*I21)</f>
        <v/>
      </c>
      <c r="H123" s="4" t="inlineStr">
        <is>
          <t>calculation</t>
        </is>
      </c>
    </row>
    <row r="124">
      <c r="B124" s="4" t="inlineStr">
        <is>
          <t>Model</t>
        </is>
      </c>
      <c r="C124" s="8" t="inlineStr">
        <is>
          <t>ec_midsize_volume</t>
        </is>
      </c>
      <c r="D124" s="4" t="inlineStr">
        <is>
          <t>이커머스 중형 판매대수</t>
        </is>
      </c>
      <c r="E124" s="4" t="inlineStr">
        <is>
          <t>2024</t>
        </is>
      </c>
      <c r="F124" s="8" t="inlineStr">
        <is>
          <t>J22</t>
        </is>
      </c>
      <c r="G124" s="4">
        <f>(J20*J21)</f>
        <v/>
      </c>
      <c r="H124" s="4" t="inlineStr">
        <is>
          <t>calculation</t>
        </is>
      </c>
    </row>
    <row r="125">
      <c r="B125" s="4" t="inlineStr">
        <is>
          <t>Model</t>
        </is>
      </c>
      <c r="C125" s="8" t="inlineStr">
        <is>
          <t>ec_midsize_volume</t>
        </is>
      </c>
      <c r="D125" s="4" t="inlineStr">
        <is>
          <t>이커머스 중형 판매대수</t>
        </is>
      </c>
      <c r="E125" s="4" t="inlineStr">
        <is>
          <t>2025</t>
        </is>
      </c>
      <c r="F125" s="8" t="inlineStr">
        <is>
          <t>K22</t>
        </is>
      </c>
      <c r="G125" s="4">
        <f>(K20*K21)</f>
        <v/>
      </c>
      <c r="H125" s="4" t="inlineStr">
        <is>
          <t>calculation</t>
        </is>
      </c>
    </row>
    <row r="126">
      <c r="B126" s="4" t="inlineStr">
        <is>
          <t>Model</t>
        </is>
      </c>
      <c r="C126" s="8" t="inlineStr">
        <is>
          <t>ec_midsize_volume</t>
        </is>
      </c>
      <c r="D126" s="4" t="inlineStr">
        <is>
          <t>이커머스 중형 판매대수</t>
        </is>
      </c>
      <c r="E126" s="4" t="inlineStr">
        <is>
          <t>2026</t>
        </is>
      </c>
      <c r="F126" s="8" t="inlineStr">
        <is>
          <t>L22</t>
        </is>
      </c>
      <c r="G126" s="4">
        <f>(L20*L21)</f>
        <v/>
      </c>
      <c r="H126" s="4" t="inlineStr">
        <is>
          <t>calculation</t>
        </is>
      </c>
    </row>
    <row r="127">
      <c r="B127" s="4" t="inlineStr">
        <is>
          <t>Model</t>
        </is>
      </c>
      <c r="C127" s="8" t="inlineStr">
        <is>
          <t>ec_midsize_volume</t>
        </is>
      </c>
      <c r="D127" s="4" t="inlineStr">
        <is>
          <t>이커머스 중형 판매대수</t>
        </is>
      </c>
      <c r="E127" s="4" t="inlineStr">
        <is>
          <t>2027</t>
        </is>
      </c>
      <c r="F127" s="8" t="inlineStr">
        <is>
          <t>M22</t>
        </is>
      </c>
      <c r="G127" s="4">
        <f>(M20*M21)</f>
        <v/>
      </c>
      <c r="H127" s="4" t="inlineStr">
        <is>
          <t>calculation</t>
        </is>
      </c>
    </row>
    <row r="128">
      <c r="B128" s="4" t="inlineStr">
        <is>
          <t>Model</t>
        </is>
      </c>
      <c r="C128" s="8" t="inlineStr">
        <is>
          <t>ec_midsize_volume</t>
        </is>
      </c>
      <c r="D128" s="4" t="inlineStr">
        <is>
          <t>이커머스 중형 판매대수</t>
        </is>
      </c>
      <c r="E128" s="4" t="inlineStr">
        <is>
          <t>2028</t>
        </is>
      </c>
      <c r="F128" s="8" t="inlineStr">
        <is>
          <t>N22</t>
        </is>
      </c>
      <c r="G128" s="4">
        <f>(N20*N21)</f>
        <v/>
      </c>
      <c r="H128" s="4" t="inlineStr">
        <is>
          <t>calculation</t>
        </is>
      </c>
    </row>
    <row r="129">
      <c r="B129" s="4" t="inlineStr">
        <is>
          <t>Model</t>
        </is>
      </c>
      <c r="C129" s="8" t="inlineStr">
        <is>
          <t>ec_midsize_volume</t>
        </is>
      </c>
      <c r="D129" s="4" t="inlineStr">
        <is>
          <t>이커머스 중형 판매대수</t>
        </is>
      </c>
      <c r="E129" s="4" t="inlineStr">
        <is>
          <t>2029</t>
        </is>
      </c>
      <c r="F129" s="8" t="inlineStr">
        <is>
          <t>O22</t>
        </is>
      </c>
      <c r="G129" s="4">
        <f>(O20*O21)</f>
        <v/>
      </c>
      <c r="H129" s="4" t="inlineStr">
        <is>
          <t>calculation</t>
        </is>
      </c>
    </row>
    <row r="130">
      <c r="B130" s="4" t="inlineStr">
        <is>
          <t>Model</t>
        </is>
      </c>
      <c r="C130" s="8" t="inlineStr">
        <is>
          <t>ec_midsize_asp</t>
        </is>
      </c>
      <c r="D130" s="4" t="inlineStr">
        <is>
          <t>이커머스 중형 ASP</t>
        </is>
      </c>
      <c r="E130" s="4" t="inlineStr">
        <is>
          <t>2023</t>
        </is>
      </c>
      <c r="F130" s="8" t="inlineStr">
        <is>
          <t>I23</t>
        </is>
      </c>
      <c r="G130" s="4">
        <f>'Assumptions'!I13</f>
        <v/>
      </c>
      <c r="H130" s="4" t="inlineStr">
        <is>
          <t>input link</t>
        </is>
      </c>
    </row>
    <row r="131">
      <c r="B131" s="4" t="inlineStr">
        <is>
          <t>Model</t>
        </is>
      </c>
      <c r="C131" s="8" t="inlineStr">
        <is>
          <t>ec_midsize_asp</t>
        </is>
      </c>
      <c r="D131" s="4" t="inlineStr">
        <is>
          <t>이커머스 중형 ASP</t>
        </is>
      </c>
      <c r="E131" s="4" t="inlineStr">
        <is>
          <t>2024</t>
        </is>
      </c>
      <c r="F131" s="8" t="inlineStr">
        <is>
          <t>J23</t>
        </is>
      </c>
      <c r="G131" s="4">
        <f>'Assumptions'!J13</f>
        <v/>
      </c>
      <c r="H131" s="4" t="inlineStr">
        <is>
          <t>input link</t>
        </is>
      </c>
    </row>
    <row r="132">
      <c r="B132" s="4" t="inlineStr">
        <is>
          <t>Model</t>
        </is>
      </c>
      <c r="C132" s="8" t="inlineStr">
        <is>
          <t>ec_midsize_asp</t>
        </is>
      </c>
      <c r="D132" s="4" t="inlineStr">
        <is>
          <t>이커머스 중형 ASP</t>
        </is>
      </c>
      <c r="E132" s="4" t="inlineStr">
        <is>
          <t>2025</t>
        </is>
      </c>
      <c r="F132" s="8" t="inlineStr">
        <is>
          <t>K23</t>
        </is>
      </c>
      <c r="G132" s="4">
        <f>'Assumptions'!K13</f>
        <v/>
      </c>
      <c r="H132" s="4" t="inlineStr">
        <is>
          <t>input link</t>
        </is>
      </c>
    </row>
    <row r="133">
      <c r="B133" s="4" t="inlineStr">
        <is>
          <t>Model</t>
        </is>
      </c>
      <c r="C133" s="8" t="inlineStr">
        <is>
          <t>ec_midsize_asp</t>
        </is>
      </c>
      <c r="D133" s="4" t="inlineStr">
        <is>
          <t>이커머스 중형 ASP</t>
        </is>
      </c>
      <c r="E133" s="4" t="inlineStr">
        <is>
          <t>2026</t>
        </is>
      </c>
      <c r="F133" s="8" t="inlineStr">
        <is>
          <t>L23</t>
        </is>
      </c>
      <c r="G133" s="4">
        <f>'Assumptions'!L13</f>
        <v/>
      </c>
      <c r="H133" s="4" t="inlineStr">
        <is>
          <t>input link</t>
        </is>
      </c>
    </row>
    <row r="134">
      <c r="B134" s="4" t="inlineStr">
        <is>
          <t>Model</t>
        </is>
      </c>
      <c r="C134" s="8" t="inlineStr">
        <is>
          <t>ec_midsize_asp</t>
        </is>
      </c>
      <c r="D134" s="4" t="inlineStr">
        <is>
          <t>이커머스 중형 ASP</t>
        </is>
      </c>
      <c r="E134" s="4" t="inlineStr">
        <is>
          <t>2027</t>
        </is>
      </c>
      <c r="F134" s="8" t="inlineStr">
        <is>
          <t>M23</t>
        </is>
      </c>
      <c r="G134" s="4">
        <f>'Assumptions'!M13</f>
        <v/>
      </c>
      <c r="H134" s="4" t="inlineStr">
        <is>
          <t>input link</t>
        </is>
      </c>
    </row>
    <row r="135">
      <c r="B135" s="4" t="inlineStr">
        <is>
          <t>Model</t>
        </is>
      </c>
      <c r="C135" s="8" t="inlineStr">
        <is>
          <t>ec_midsize_asp</t>
        </is>
      </c>
      <c r="D135" s="4" t="inlineStr">
        <is>
          <t>이커머스 중형 ASP</t>
        </is>
      </c>
      <c r="E135" s="4" t="inlineStr">
        <is>
          <t>2028</t>
        </is>
      </c>
      <c r="F135" s="8" t="inlineStr">
        <is>
          <t>N23</t>
        </is>
      </c>
      <c r="G135" s="4">
        <f>'Assumptions'!N13</f>
        <v/>
      </c>
      <c r="H135" s="4" t="inlineStr">
        <is>
          <t>input link</t>
        </is>
      </c>
    </row>
    <row r="136">
      <c r="B136" s="4" t="inlineStr">
        <is>
          <t>Model</t>
        </is>
      </c>
      <c r="C136" s="8" t="inlineStr">
        <is>
          <t>ec_midsize_asp</t>
        </is>
      </c>
      <c r="D136" s="4" t="inlineStr">
        <is>
          <t>이커머스 중형 ASP</t>
        </is>
      </c>
      <c r="E136" s="4" t="inlineStr">
        <is>
          <t>2029</t>
        </is>
      </c>
      <c r="F136" s="8" t="inlineStr">
        <is>
          <t>O23</t>
        </is>
      </c>
      <c r="G136" s="4">
        <f>'Assumptions'!O13</f>
        <v/>
      </c>
      <c r="H136" s="4" t="inlineStr">
        <is>
          <t>input link</t>
        </is>
      </c>
    </row>
    <row r="137">
      <c r="B137" s="4" t="inlineStr">
        <is>
          <t>Model</t>
        </is>
      </c>
      <c r="C137" s="8" t="inlineStr">
        <is>
          <t>ec_compact_rev</t>
        </is>
      </c>
      <c r="D137" s="4" t="inlineStr">
        <is>
          <t>이커머스 준중형</t>
        </is>
      </c>
      <c r="E137" s="4" t="inlineStr">
        <is>
          <t>2023</t>
        </is>
      </c>
      <c r="F137" s="8" t="inlineStr">
        <is>
          <t>I24</t>
        </is>
      </c>
      <c r="G137" s="4">
        <f>(I27*I28)</f>
        <v/>
      </c>
      <c r="H137" s="4" t="inlineStr">
        <is>
          <t>calculation</t>
        </is>
      </c>
    </row>
    <row r="138">
      <c r="B138" s="4" t="inlineStr">
        <is>
          <t>Model</t>
        </is>
      </c>
      <c r="C138" s="8" t="inlineStr">
        <is>
          <t>ec_compact_rev</t>
        </is>
      </c>
      <c r="D138" s="4" t="inlineStr">
        <is>
          <t>이커머스 준중형</t>
        </is>
      </c>
      <c r="E138" s="4" t="inlineStr">
        <is>
          <t>2024</t>
        </is>
      </c>
      <c r="F138" s="8" t="inlineStr">
        <is>
          <t>J24</t>
        </is>
      </c>
      <c r="G138" s="4">
        <f>(J27*J28)</f>
        <v/>
      </c>
      <c r="H138" s="4" t="inlineStr">
        <is>
          <t>calculation</t>
        </is>
      </c>
    </row>
    <row r="139">
      <c r="B139" s="4" t="inlineStr">
        <is>
          <t>Model</t>
        </is>
      </c>
      <c r="C139" s="8" t="inlineStr">
        <is>
          <t>ec_compact_rev</t>
        </is>
      </c>
      <c r="D139" s="4" t="inlineStr">
        <is>
          <t>이커머스 준중형</t>
        </is>
      </c>
      <c r="E139" s="4" t="inlineStr">
        <is>
          <t>2025</t>
        </is>
      </c>
      <c r="F139" s="8" t="inlineStr">
        <is>
          <t>K24</t>
        </is>
      </c>
      <c r="G139" s="4">
        <f>(K27*K28)</f>
        <v/>
      </c>
      <c r="H139" s="4" t="inlineStr">
        <is>
          <t>calculation</t>
        </is>
      </c>
    </row>
    <row r="140">
      <c r="B140" s="4" t="inlineStr">
        <is>
          <t>Model</t>
        </is>
      </c>
      <c r="C140" s="8" t="inlineStr">
        <is>
          <t>ec_compact_rev</t>
        </is>
      </c>
      <c r="D140" s="4" t="inlineStr">
        <is>
          <t>이커머스 준중형</t>
        </is>
      </c>
      <c r="E140" s="4" t="inlineStr">
        <is>
          <t>2026</t>
        </is>
      </c>
      <c r="F140" s="8" t="inlineStr">
        <is>
          <t>L24</t>
        </is>
      </c>
      <c r="G140" s="4">
        <f>(L27*L28)</f>
        <v/>
      </c>
      <c r="H140" s="4" t="inlineStr">
        <is>
          <t>calculation</t>
        </is>
      </c>
    </row>
    <row r="141">
      <c r="B141" s="4" t="inlineStr">
        <is>
          <t>Model</t>
        </is>
      </c>
      <c r="C141" s="8" t="inlineStr">
        <is>
          <t>ec_compact_rev</t>
        </is>
      </c>
      <c r="D141" s="4" t="inlineStr">
        <is>
          <t>이커머스 준중형</t>
        </is>
      </c>
      <c r="E141" s="4" t="inlineStr">
        <is>
          <t>2027</t>
        </is>
      </c>
      <c r="F141" s="8" t="inlineStr">
        <is>
          <t>M24</t>
        </is>
      </c>
      <c r="G141" s="4">
        <f>(M27*M28)</f>
        <v/>
      </c>
      <c r="H141" s="4" t="inlineStr">
        <is>
          <t>calculation</t>
        </is>
      </c>
    </row>
    <row r="142">
      <c r="B142" s="4" t="inlineStr">
        <is>
          <t>Model</t>
        </is>
      </c>
      <c r="C142" s="8" t="inlineStr">
        <is>
          <t>ec_compact_rev</t>
        </is>
      </c>
      <c r="D142" s="4" t="inlineStr">
        <is>
          <t>이커머스 준중형</t>
        </is>
      </c>
      <c r="E142" s="4" t="inlineStr">
        <is>
          <t>2028</t>
        </is>
      </c>
      <c r="F142" s="8" t="inlineStr">
        <is>
          <t>N24</t>
        </is>
      </c>
      <c r="G142" s="4">
        <f>(N27*N28)</f>
        <v/>
      </c>
      <c r="H142" s="4" t="inlineStr">
        <is>
          <t>calculation</t>
        </is>
      </c>
    </row>
    <row r="143">
      <c r="B143" s="4" t="inlineStr">
        <is>
          <t>Model</t>
        </is>
      </c>
      <c r="C143" s="8" t="inlineStr">
        <is>
          <t>ec_compact_rev</t>
        </is>
      </c>
      <c r="D143" s="4" t="inlineStr">
        <is>
          <t>이커머스 준중형</t>
        </is>
      </c>
      <c r="E143" s="4" t="inlineStr">
        <is>
          <t>2029</t>
        </is>
      </c>
      <c r="F143" s="8" t="inlineStr">
        <is>
          <t>O24</t>
        </is>
      </c>
      <c r="G143" s="4">
        <f>(O27*O28)</f>
        <v/>
      </c>
      <c r="H143" s="4" t="inlineStr">
        <is>
          <t>calculation</t>
        </is>
      </c>
    </row>
    <row r="144">
      <c r="B144" s="4" t="inlineStr">
        <is>
          <t>Model</t>
        </is>
      </c>
      <c r="C144" s="8" t="inlineStr">
        <is>
          <t>market_compact</t>
        </is>
      </c>
      <c r="D144" s="4" t="inlineStr">
        <is>
          <t>준중형 시장판매대수</t>
        </is>
      </c>
      <c r="E144" s="4" t="inlineStr">
        <is>
          <t>2023</t>
        </is>
      </c>
      <c r="F144" s="8" t="inlineStr">
        <is>
          <t>I25</t>
        </is>
      </c>
      <c r="G144" s="4">
        <f>'Assumptions'!I14</f>
        <v/>
      </c>
      <c r="H144" s="4" t="inlineStr">
        <is>
          <t>input link</t>
        </is>
      </c>
    </row>
    <row r="145">
      <c r="B145" s="4" t="inlineStr">
        <is>
          <t>Model</t>
        </is>
      </c>
      <c r="C145" s="8" t="inlineStr">
        <is>
          <t>market_compact</t>
        </is>
      </c>
      <c r="D145" s="4" t="inlineStr">
        <is>
          <t>준중형 시장판매대수</t>
        </is>
      </c>
      <c r="E145" s="4" t="inlineStr">
        <is>
          <t>2024</t>
        </is>
      </c>
      <c r="F145" s="8" t="inlineStr">
        <is>
          <t>J25</t>
        </is>
      </c>
      <c r="G145" s="4">
        <f>'Assumptions'!J14</f>
        <v/>
      </c>
      <c r="H145" s="4" t="inlineStr">
        <is>
          <t>input link</t>
        </is>
      </c>
    </row>
    <row r="146">
      <c r="B146" s="4" t="inlineStr">
        <is>
          <t>Model</t>
        </is>
      </c>
      <c r="C146" s="8" t="inlineStr">
        <is>
          <t>market_compact</t>
        </is>
      </c>
      <c r="D146" s="4" t="inlineStr">
        <is>
          <t>준중형 시장판매대수</t>
        </is>
      </c>
      <c r="E146" s="4" t="inlineStr">
        <is>
          <t>2025</t>
        </is>
      </c>
      <c r="F146" s="8" t="inlineStr">
        <is>
          <t>K25</t>
        </is>
      </c>
      <c r="G146" s="4">
        <f>'Assumptions'!K14</f>
        <v/>
      </c>
      <c r="H146" s="4" t="inlineStr">
        <is>
          <t>input link</t>
        </is>
      </c>
    </row>
    <row r="147">
      <c r="B147" s="4" t="inlineStr">
        <is>
          <t>Model</t>
        </is>
      </c>
      <c r="C147" s="8" t="inlineStr">
        <is>
          <t>market_compact</t>
        </is>
      </c>
      <c r="D147" s="4" t="inlineStr">
        <is>
          <t>준중형 시장판매대수</t>
        </is>
      </c>
      <c r="E147" s="4" t="inlineStr">
        <is>
          <t>2026</t>
        </is>
      </c>
      <c r="F147" s="8" t="inlineStr">
        <is>
          <t>L25</t>
        </is>
      </c>
      <c r="G147" s="4">
        <f>'Assumptions'!L14</f>
        <v/>
      </c>
      <c r="H147" s="4" t="inlineStr">
        <is>
          <t>input link</t>
        </is>
      </c>
    </row>
    <row r="148">
      <c r="B148" s="4" t="inlineStr">
        <is>
          <t>Model</t>
        </is>
      </c>
      <c r="C148" s="8" t="inlineStr">
        <is>
          <t>market_compact</t>
        </is>
      </c>
      <c r="D148" s="4" t="inlineStr">
        <is>
          <t>준중형 시장판매대수</t>
        </is>
      </c>
      <c r="E148" s="4" t="inlineStr">
        <is>
          <t>2027</t>
        </is>
      </c>
      <c r="F148" s="8" t="inlineStr">
        <is>
          <t>M25</t>
        </is>
      </c>
      <c r="G148" s="4">
        <f>'Assumptions'!M14</f>
        <v/>
      </c>
      <c r="H148" s="4" t="inlineStr">
        <is>
          <t>input link</t>
        </is>
      </c>
    </row>
    <row r="149">
      <c r="B149" s="4" t="inlineStr">
        <is>
          <t>Model</t>
        </is>
      </c>
      <c r="C149" s="8" t="inlineStr">
        <is>
          <t>market_compact</t>
        </is>
      </c>
      <c r="D149" s="4" t="inlineStr">
        <is>
          <t>준중형 시장판매대수</t>
        </is>
      </c>
      <c r="E149" s="4" t="inlineStr">
        <is>
          <t>2028</t>
        </is>
      </c>
      <c r="F149" s="8" t="inlineStr">
        <is>
          <t>N25</t>
        </is>
      </c>
      <c r="G149" s="4">
        <f>'Assumptions'!N14</f>
        <v/>
      </c>
      <c r="H149" s="4" t="inlineStr">
        <is>
          <t>input link</t>
        </is>
      </c>
    </row>
    <row r="150">
      <c r="B150" s="4" t="inlineStr">
        <is>
          <t>Model</t>
        </is>
      </c>
      <c r="C150" s="8" t="inlineStr">
        <is>
          <t>market_compact</t>
        </is>
      </c>
      <c r="D150" s="4" t="inlineStr">
        <is>
          <t>준중형 시장판매대수</t>
        </is>
      </c>
      <c r="E150" s="4" t="inlineStr">
        <is>
          <t>2029</t>
        </is>
      </c>
      <c r="F150" s="8" t="inlineStr">
        <is>
          <t>O25</t>
        </is>
      </c>
      <c r="G150" s="4">
        <f>'Assumptions'!O14</f>
        <v/>
      </c>
      <c r="H150" s="4" t="inlineStr">
        <is>
          <t>input link</t>
        </is>
      </c>
    </row>
    <row r="151">
      <c r="B151" s="4" t="inlineStr">
        <is>
          <t>Model</t>
        </is>
      </c>
      <c r="C151" s="8" t="inlineStr">
        <is>
          <t>ec_compact_share</t>
        </is>
      </c>
      <c r="D151" s="4" t="inlineStr">
        <is>
          <t>이커머스 준중형 점유율</t>
        </is>
      </c>
      <c r="E151" s="4" t="inlineStr">
        <is>
          <t>2023</t>
        </is>
      </c>
      <c r="F151" s="8" t="inlineStr">
        <is>
          <t>I26</t>
        </is>
      </c>
      <c r="G151" s="4">
        <f>'Assumptions'!I15</f>
        <v/>
      </c>
      <c r="H151" s="4" t="inlineStr">
        <is>
          <t>input link</t>
        </is>
      </c>
    </row>
    <row r="152">
      <c r="B152" s="4" t="inlineStr">
        <is>
          <t>Model</t>
        </is>
      </c>
      <c r="C152" s="8" t="inlineStr">
        <is>
          <t>ec_compact_share</t>
        </is>
      </c>
      <c r="D152" s="4" t="inlineStr">
        <is>
          <t>이커머스 준중형 점유율</t>
        </is>
      </c>
      <c r="E152" s="4" t="inlineStr">
        <is>
          <t>2024</t>
        </is>
      </c>
      <c r="F152" s="8" t="inlineStr">
        <is>
          <t>J26</t>
        </is>
      </c>
      <c r="G152" s="4">
        <f>'Assumptions'!J15</f>
        <v/>
      </c>
      <c r="H152" s="4" t="inlineStr">
        <is>
          <t>input link</t>
        </is>
      </c>
    </row>
    <row r="153">
      <c r="B153" s="4" t="inlineStr">
        <is>
          <t>Model</t>
        </is>
      </c>
      <c r="C153" s="8" t="inlineStr">
        <is>
          <t>ec_compact_share</t>
        </is>
      </c>
      <c r="D153" s="4" t="inlineStr">
        <is>
          <t>이커머스 준중형 점유율</t>
        </is>
      </c>
      <c r="E153" s="4" t="inlineStr">
        <is>
          <t>2025</t>
        </is>
      </c>
      <c r="F153" s="8" t="inlineStr">
        <is>
          <t>K26</t>
        </is>
      </c>
      <c r="G153" s="4">
        <f>'Assumptions'!K15</f>
        <v/>
      </c>
      <c r="H153" s="4" t="inlineStr">
        <is>
          <t>input link</t>
        </is>
      </c>
    </row>
    <row r="154">
      <c r="B154" s="4" t="inlineStr">
        <is>
          <t>Model</t>
        </is>
      </c>
      <c r="C154" s="8" t="inlineStr">
        <is>
          <t>ec_compact_share</t>
        </is>
      </c>
      <c r="D154" s="4" t="inlineStr">
        <is>
          <t>이커머스 준중형 점유율</t>
        </is>
      </c>
      <c r="E154" s="4" t="inlineStr">
        <is>
          <t>2026</t>
        </is>
      </c>
      <c r="F154" s="8" t="inlineStr">
        <is>
          <t>L26</t>
        </is>
      </c>
      <c r="G154" s="4">
        <f>'Assumptions'!L15</f>
        <v/>
      </c>
      <c r="H154" s="4" t="inlineStr">
        <is>
          <t>input link</t>
        </is>
      </c>
    </row>
    <row r="155">
      <c r="B155" s="4" t="inlineStr">
        <is>
          <t>Model</t>
        </is>
      </c>
      <c r="C155" s="8" t="inlineStr">
        <is>
          <t>ec_compact_share</t>
        </is>
      </c>
      <c r="D155" s="4" t="inlineStr">
        <is>
          <t>이커머스 준중형 점유율</t>
        </is>
      </c>
      <c r="E155" s="4" t="inlineStr">
        <is>
          <t>2027</t>
        </is>
      </c>
      <c r="F155" s="8" t="inlineStr">
        <is>
          <t>M26</t>
        </is>
      </c>
      <c r="G155" s="4">
        <f>'Assumptions'!M15</f>
        <v/>
      </c>
      <c r="H155" s="4" t="inlineStr">
        <is>
          <t>input link</t>
        </is>
      </c>
    </row>
    <row r="156">
      <c r="B156" s="4" t="inlineStr">
        <is>
          <t>Model</t>
        </is>
      </c>
      <c r="C156" s="8" t="inlineStr">
        <is>
          <t>ec_compact_share</t>
        </is>
      </c>
      <c r="D156" s="4" t="inlineStr">
        <is>
          <t>이커머스 준중형 점유율</t>
        </is>
      </c>
      <c r="E156" s="4" t="inlineStr">
        <is>
          <t>2028</t>
        </is>
      </c>
      <c r="F156" s="8" t="inlineStr">
        <is>
          <t>N26</t>
        </is>
      </c>
      <c r="G156" s="4">
        <f>'Assumptions'!N15</f>
        <v/>
      </c>
      <c r="H156" s="4" t="inlineStr">
        <is>
          <t>input link</t>
        </is>
      </c>
    </row>
    <row r="157">
      <c r="B157" s="4" t="inlineStr">
        <is>
          <t>Model</t>
        </is>
      </c>
      <c r="C157" s="8" t="inlineStr">
        <is>
          <t>ec_compact_share</t>
        </is>
      </c>
      <c r="D157" s="4" t="inlineStr">
        <is>
          <t>이커머스 준중형 점유율</t>
        </is>
      </c>
      <c r="E157" s="4" t="inlineStr">
        <is>
          <t>2029</t>
        </is>
      </c>
      <c r="F157" s="8" t="inlineStr">
        <is>
          <t>O26</t>
        </is>
      </c>
      <c r="G157" s="4">
        <f>'Assumptions'!O15</f>
        <v/>
      </c>
      <c r="H157" s="4" t="inlineStr">
        <is>
          <t>input link</t>
        </is>
      </c>
    </row>
    <row r="158">
      <c r="B158" s="4" t="inlineStr">
        <is>
          <t>Model</t>
        </is>
      </c>
      <c r="C158" s="8" t="inlineStr">
        <is>
          <t>ec_compact_volume</t>
        </is>
      </c>
      <c r="D158" s="4" t="inlineStr">
        <is>
          <t>이커머스 준중형 판매대수</t>
        </is>
      </c>
      <c r="E158" s="4" t="inlineStr">
        <is>
          <t>2023</t>
        </is>
      </c>
      <c r="F158" s="8" t="inlineStr">
        <is>
          <t>I27</t>
        </is>
      </c>
      <c r="G158" s="4">
        <f>(I25*I26)</f>
        <v/>
      </c>
      <c r="H158" s="4" t="inlineStr">
        <is>
          <t>calculation</t>
        </is>
      </c>
    </row>
    <row r="159">
      <c r="B159" s="4" t="inlineStr">
        <is>
          <t>Model</t>
        </is>
      </c>
      <c r="C159" s="8" t="inlineStr">
        <is>
          <t>ec_compact_volume</t>
        </is>
      </c>
      <c r="D159" s="4" t="inlineStr">
        <is>
          <t>이커머스 준중형 판매대수</t>
        </is>
      </c>
      <c r="E159" s="4" t="inlineStr">
        <is>
          <t>2024</t>
        </is>
      </c>
      <c r="F159" s="8" t="inlineStr">
        <is>
          <t>J27</t>
        </is>
      </c>
      <c r="G159" s="4">
        <f>(J25*J26)</f>
        <v/>
      </c>
      <c r="H159" s="4" t="inlineStr">
        <is>
          <t>calculation</t>
        </is>
      </c>
    </row>
    <row r="160">
      <c r="B160" s="4" t="inlineStr">
        <is>
          <t>Model</t>
        </is>
      </c>
      <c r="C160" s="8" t="inlineStr">
        <is>
          <t>ec_compact_volume</t>
        </is>
      </c>
      <c r="D160" s="4" t="inlineStr">
        <is>
          <t>이커머스 준중형 판매대수</t>
        </is>
      </c>
      <c r="E160" s="4" t="inlineStr">
        <is>
          <t>2025</t>
        </is>
      </c>
      <c r="F160" s="8" t="inlineStr">
        <is>
          <t>K27</t>
        </is>
      </c>
      <c r="G160" s="4">
        <f>(K25*K26)</f>
        <v/>
      </c>
      <c r="H160" s="4" t="inlineStr">
        <is>
          <t>calculation</t>
        </is>
      </c>
    </row>
    <row r="161">
      <c r="B161" s="4" t="inlineStr">
        <is>
          <t>Model</t>
        </is>
      </c>
      <c r="C161" s="8" t="inlineStr">
        <is>
          <t>ec_compact_volume</t>
        </is>
      </c>
      <c r="D161" s="4" t="inlineStr">
        <is>
          <t>이커머스 준중형 판매대수</t>
        </is>
      </c>
      <c r="E161" s="4" t="inlineStr">
        <is>
          <t>2026</t>
        </is>
      </c>
      <c r="F161" s="8" t="inlineStr">
        <is>
          <t>L27</t>
        </is>
      </c>
      <c r="G161" s="4">
        <f>(L25*L26)</f>
        <v/>
      </c>
      <c r="H161" s="4" t="inlineStr">
        <is>
          <t>calculation</t>
        </is>
      </c>
    </row>
    <row r="162">
      <c r="B162" s="4" t="inlineStr">
        <is>
          <t>Model</t>
        </is>
      </c>
      <c r="C162" s="8" t="inlineStr">
        <is>
          <t>ec_compact_volume</t>
        </is>
      </c>
      <c r="D162" s="4" t="inlineStr">
        <is>
          <t>이커머스 준중형 판매대수</t>
        </is>
      </c>
      <c r="E162" s="4" t="inlineStr">
        <is>
          <t>2027</t>
        </is>
      </c>
      <c r="F162" s="8" t="inlineStr">
        <is>
          <t>M27</t>
        </is>
      </c>
      <c r="G162" s="4">
        <f>(M25*M26)</f>
        <v/>
      </c>
      <c r="H162" s="4" t="inlineStr">
        <is>
          <t>calculation</t>
        </is>
      </c>
    </row>
    <row r="163">
      <c r="B163" s="4" t="inlineStr">
        <is>
          <t>Model</t>
        </is>
      </c>
      <c r="C163" s="8" t="inlineStr">
        <is>
          <t>ec_compact_volume</t>
        </is>
      </c>
      <c r="D163" s="4" t="inlineStr">
        <is>
          <t>이커머스 준중형 판매대수</t>
        </is>
      </c>
      <c r="E163" s="4" t="inlineStr">
        <is>
          <t>2028</t>
        </is>
      </c>
      <c r="F163" s="8" t="inlineStr">
        <is>
          <t>N27</t>
        </is>
      </c>
      <c r="G163" s="4">
        <f>(N25*N26)</f>
        <v/>
      </c>
      <c r="H163" s="4" t="inlineStr">
        <is>
          <t>calculation</t>
        </is>
      </c>
    </row>
    <row r="164">
      <c r="B164" s="4" t="inlineStr">
        <is>
          <t>Model</t>
        </is>
      </c>
      <c r="C164" s="8" t="inlineStr">
        <is>
          <t>ec_compact_volume</t>
        </is>
      </c>
      <c r="D164" s="4" t="inlineStr">
        <is>
          <t>이커머스 준중형 판매대수</t>
        </is>
      </c>
      <c r="E164" s="4" t="inlineStr">
        <is>
          <t>2029</t>
        </is>
      </c>
      <c r="F164" s="8" t="inlineStr">
        <is>
          <t>O27</t>
        </is>
      </c>
      <c r="G164" s="4">
        <f>(O25*O26)</f>
        <v/>
      </c>
      <c r="H164" s="4" t="inlineStr">
        <is>
          <t>calculation</t>
        </is>
      </c>
    </row>
    <row r="165">
      <c r="B165" s="4" t="inlineStr">
        <is>
          <t>Model</t>
        </is>
      </c>
      <c r="C165" s="8" t="inlineStr">
        <is>
          <t>ec_compact_asp</t>
        </is>
      </c>
      <c r="D165" s="4" t="inlineStr">
        <is>
          <t>이커머스 준중형 ASP</t>
        </is>
      </c>
      <c r="E165" s="4" t="inlineStr">
        <is>
          <t>2023</t>
        </is>
      </c>
      <c r="F165" s="8" t="inlineStr">
        <is>
          <t>I28</t>
        </is>
      </c>
      <c r="G165" s="4">
        <f>'Assumptions'!I16</f>
        <v/>
      </c>
      <c r="H165" s="4" t="inlineStr">
        <is>
          <t>input link</t>
        </is>
      </c>
    </row>
    <row r="166">
      <c r="B166" s="4" t="inlineStr">
        <is>
          <t>Model</t>
        </is>
      </c>
      <c r="C166" s="8" t="inlineStr">
        <is>
          <t>ec_compact_asp</t>
        </is>
      </c>
      <c r="D166" s="4" t="inlineStr">
        <is>
          <t>이커머스 준중형 ASP</t>
        </is>
      </c>
      <c r="E166" s="4" t="inlineStr">
        <is>
          <t>2024</t>
        </is>
      </c>
      <c r="F166" s="8" t="inlineStr">
        <is>
          <t>J28</t>
        </is>
      </c>
      <c r="G166" s="4">
        <f>'Assumptions'!J16</f>
        <v/>
      </c>
      <c r="H166" s="4" t="inlineStr">
        <is>
          <t>input link</t>
        </is>
      </c>
    </row>
    <row r="167">
      <c r="B167" s="4" t="inlineStr">
        <is>
          <t>Model</t>
        </is>
      </c>
      <c r="C167" s="8" t="inlineStr">
        <is>
          <t>ec_compact_asp</t>
        </is>
      </c>
      <c r="D167" s="4" t="inlineStr">
        <is>
          <t>이커머스 준중형 ASP</t>
        </is>
      </c>
      <c r="E167" s="4" t="inlineStr">
        <is>
          <t>2025</t>
        </is>
      </c>
      <c r="F167" s="8" t="inlineStr">
        <is>
          <t>K28</t>
        </is>
      </c>
      <c r="G167" s="4">
        <f>'Assumptions'!K16</f>
        <v/>
      </c>
      <c r="H167" s="4" t="inlineStr">
        <is>
          <t>input link</t>
        </is>
      </c>
    </row>
    <row r="168">
      <c r="B168" s="4" t="inlineStr">
        <is>
          <t>Model</t>
        </is>
      </c>
      <c r="C168" s="8" t="inlineStr">
        <is>
          <t>ec_compact_asp</t>
        </is>
      </c>
      <c r="D168" s="4" t="inlineStr">
        <is>
          <t>이커머스 준중형 ASP</t>
        </is>
      </c>
      <c r="E168" s="4" t="inlineStr">
        <is>
          <t>2026</t>
        </is>
      </c>
      <c r="F168" s="8" t="inlineStr">
        <is>
          <t>L28</t>
        </is>
      </c>
      <c r="G168" s="4">
        <f>'Assumptions'!L16</f>
        <v/>
      </c>
      <c r="H168" s="4" t="inlineStr">
        <is>
          <t>input link</t>
        </is>
      </c>
    </row>
    <row r="169">
      <c r="B169" s="4" t="inlineStr">
        <is>
          <t>Model</t>
        </is>
      </c>
      <c r="C169" s="8" t="inlineStr">
        <is>
          <t>ec_compact_asp</t>
        </is>
      </c>
      <c r="D169" s="4" t="inlineStr">
        <is>
          <t>이커머스 준중형 ASP</t>
        </is>
      </c>
      <c r="E169" s="4" t="inlineStr">
        <is>
          <t>2027</t>
        </is>
      </c>
      <c r="F169" s="8" t="inlineStr">
        <is>
          <t>M28</t>
        </is>
      </c>
      <c r="G169" s="4">
        <f>'Assumptions'!M16</f>
        <v/>
      </c>
      <c r="H169" s="4" t="inlineStr">
        <is>
          <t>input link</t>
        </is>
      </c>
    </row>
    <row r="170">
      <c r="B170" s="4" t="inlineStr">
        <is>
          <t>Model</t>
        </is>
      </c>
      <c r="C170" s="8" t="inlineStr">
        <is>
          <t>ec_compact_asp</t>
        </is>
      </c>
      <c r="D170" s="4" t="inlineStr">
        <is>
          <t>이커머스 준중형 ASP</t>
        </is>
      </c>
      <c r="E170" s="4" t="inlineStr">
        <is>
          <t>2028</t>
        </is>
      </c>
      <c r="F170" s="8" t="inlineStr">
        <is>
          <t>N28</t>
        </is>
      </c>
      <c r="G170" s="4">
        <f>'Assumptions'!N16</f>
        <v/>
      </c>
      <c r="H170" s="4" t="inlineStr">
        <is>
          <t>input link</t>
        </is>
      </c>
    </row>
    <row r="171">
      <c r="B171" s="4" t="inlineStr">
        <is>
          <t>Model</t>
        </is>
      </c>
      <c r="C171" s="8" t="inlineStr">
        <is>
          <t>ec_compact_asp</t>
        </is>
      </c>
      <c r="D171" s="4" t="inlineStr">
        <is>
          <t>이커머스 준중형 ASP</t>
        </is>
      </c>
      <c r="E171" s="4" t="inlineStr">
        <is>
          <t>2029</t>
        </is>
      </c>
      <c r="F171" s="8" t="inlineStr">
        <is>
          <t>O28</t>
        </is>
      </c>
      <c r="G171" s="4">
        <f>'Assumptions'!O16</f>
        <v/>
      </c>
      <c r="H171" s="4" t="inlineStr">
        <is>
          <t>input link</t>
        </is>
      </c>
    </row>
    <row r="172">
      <c r="B172" s="4" t="inlineStr">
        <is>
          <t>Model</t>
        </is>
      </c>
      <c r="C172" s="8" t="inlineStr">
        <is>
          <t>ec_small_rev</t>
        </is>
      </c>
      <c r="D172" s="4" t="inlineStr">
        <is>
          <t>이커머스 소형</t>
        </is>
      </c>
      <c r="E172" s="4" t="inlineStr">
        <is>
          <t>2023</t>
        </is>
      </c>
      <c r="F172" s="8" t="inlineStr">
        <is>
          <t>I29</t>
        </is>
      </c>
      <c r="G172" s="4">
        <f>(I32*I33)</f>
        <v/>
      </c>
      <c r="H172" s="4" t="inlineStr">
        <is>
          <t>calculation</t>
        </is>
      </c>
    </row>
    <row r="173">
      <c r="B173" s="4" t="inlineStr">
        <is>
          <t>Model</t>
        </is>
      </c>
      <c r="C173" s="8" t="inlineStr">
        <is>
          <t>ec_small_rev</t>
        </is>
      </c>
      <c r="D173" s="4" t="inlineStr">
        <is>
          <t>이커머스 소형</t>
        </is>
      </c>
      <c r="E173" s="4" t="inlineStr">
        <is>
          <t>2024</t>
        </is>
      </c>
      <c r="F173" s="8" t="inlineStr">
        <is>
          <t>J29</t>
        </is>
      </c>
      <c r="G173" s="4">
        <f>(J32*J33)</f>
        <v/>
      </c>
      <c r="H173" s="4" t="inlineStr">
        <is>
          <t>calculation</t>
        </is>
      </c>
    </row>
    <row r="174">
      <c r="B174" s="4" t="inlineStr">
        <is>
          <t>Model</t>
        </is>
      </c>
      <c r="C174" s="8" t="inlineStr">
        <is>
          <t>ec_small_rev</t>
        </is>
      </c>
      <c r="D174" s="4" t="inlineStr">
        <is>
          <t>이커머스 소형</t>
        </is>
      </c>
      <c r="E174" s="4" t="inlineStr">
        <is>
          <t>2025</t>
        </is>
      </c>
      <c r="F174" s="8" t="inlineStr">
        <is>
          <t>K29</t>
        </is>
      </c>
      <c r="G174" s="4">
        <f>(K32*K33)</f>
        <v/>
      </c>
      <c r="H174" s="4" t="inlineStr">
        <is>
          <t>calculation</t>
        </is>
      </c>
    </row>
    <row r="175">
      <c r="B175" s="4" t="inlineStr">
        <is>
          <t>Model</t>
        </is>
      </c>
      <c r="C175" s="8" t="inlineStr">
        <is>
          <t>ec_small_rev</t>
        </is>
      </c>
      <c r="D175" s="4" t="inlineStr">
        <is>
          <t>이커머스 소형</t>
        </is>
      </c>
      <c r="E175" s="4" t="inlineStr">
        <is>
          <t>2026</t>
        </is>
      </c>
      <c r="F175" s="8" t="inlineStr">
        <is>
          <t>L29</t>
        </is>
      </c>
      <c r="G175" s="4">
        <f>(L32*L33)</f>
        <v/>
      </c>
      <c r="H175" s="4" t="inlineStr">
        <is>
          <t>calculation</t>
        </is>
      </c>
    </row>
    <row r="176">
      <c r="B176" s="4" t="inlineStr">
        <is>
          <t>Model</t>
        </is>
      </c>
      <c r="C176" s="8" t="inlineStr">
        <is>
          <t>ec_small_rev</t>
        </is>
      </c>
      <c r="D176" s="4" t="inlineStr">
        <is>
          <t>이커머스 소형</t>
        </is>
      </c>
      <c r="E176" s="4" t="inlineStr">
        <is>
          <t>2027</t>
        </is>
      </c>
      <c r="F176" s="8" t="inlineStr">
        <is>
          <t>M29</t>
        </is>
      </c>
      <c r="G176" s="4">
        <f>(M32*M33)</f>
        <v/>
      </c>
      <c r="H176" s="4" t="inlineStr">
        <is>
          <t>calculation</t>
        </is>
      </c>
    </row>
    <row r="177">
      <c r="B177" s="4" t="inlineStr">
        <is>
          <t>Model</t>
        </is>
      </c>
      <c r="C177" s="8" t="inlineStr">
        <is>
          <t>ec_small_rev</t>
        </is>
      </c>
      <c r="D177" s="4" t="inlineStr">
        <is>
          <t>이커머스 소형</t>
        </is>
      </c>
      <c r="E177" s="4" t="inlineStr">
        <is>
          <t>2028</t>
        </is>
      </c>
      <c r="F177" s="8" t="inlineStr">
        <is>
          <t>N29</t>
        </is>
      </c>
      <c r="G177" s="4">
        <f>(N32*N33)</f>
        <v/>
      </c>
      <c r="H177" s="4" t="inlineStr">
        <is>
          <t>calculation</t>
        </is>
      </c>
    </row>
    <row r="178">
      <c r="B178" s="4" t="inlineStr">
        <is>
          <t>Model</t>
        </is>
      </c>
      <c r="C178" s="8" t="inlineStr">
        <is>
          <t>ec_small_rev</t>
        </is>
      </c>
      <c r="D178" s="4" t="inlineStr">
        <is>
          <t>이커머스 소형</t>
        </is>
      </c>
      <c r="E178" s="4" t="inlineStr">
        <is>
          <t>2029</t>
        </is>
      </c>
      <c r="F178" s="8" t="inlineStr">
        <is>
          <t>O29</t>
        </is>
      </c>
      <c r="G178" s="4">
        <f>(O32*O33)</f>
        <v/>
      </c>
      <c r="H178" s="4" t="inlineStr">
        <is>
          <t>calculation</t>
        </is>
      </c>
    </row>
    <row r="179">
      <c r="B179" s="4" t="inlineStr">
        <is>
          <t>Model</t>
        </is>
      </c>
      <c r="C179" s="8" t="inlineStr">
        <is>
          <t>market_small</t>
        </is>
      </c>
      <c r="D179" s="4" t="inlineStr">
        <is>
          <t>소형 시장판매대수</t>
        </is>
      </c>
      <c r="E179" s="4" t="inlineStr">
        <is>
          <t>2023</t>
        </is>
      </c>
      <c r="F179" s="8" t="inlineStr">
        <is>
          <t>I30</t>
        </is>
      </c>
      <c r="G179" s="4">
        <f>'Assumptions'!I17</f>
        <v/>
      </c>
      <c r="H179" s="4" t="inlineStr">
        <is>
          <t>input link</t>
        </is>
      </c>
    </row>
    <row r="180">
      <c r="B180" s="4" t="inlineStr">
        <is>
          <t>Model</t>
        </is>
      </c>
      <c r="C180" s="8" t="inlineStr">
        <is>
          <t>market_small</t>
        </is>
      </c>
      <c r="D180" s="4" t="inlineStr">
        <is>
          <t>소형 시장판매대수</t>
        </is>
      </c>
      <c r="E180" s="4" t="inlineStr">
        <is>
          <t>2024</t>
        </is>
      </c>
      <c r="F180" s="8" t="inlineStr">
        <is>
          <t>J30</t>
        </is>
      </c>
      <c r="G180" s="4">
        <f>'Assumptions'!J17</f>
        <v/>
      </c>
      <c r="H180" s="4" t="inlineStr">
        <is>
          <t>input link</t>
        </is>
      </c>
    </row>
    <row r="181">
      <c r="B181" s="4" t="inlineStr">
        <is>
          <t>Model</t>
        </is>
      </c>
      <c r="C181" s="8" t="inlineStr">
        <is>
          <t>market_small</t>
        </is>
      </c>
      <c r="D181" s="4" t="inlineStr">
        <is>
          <t>소형 시장판매대수</t>
        </is>
      </c>
      <c r="E181" s="4" t="inlineStr">
        <is>
          <t>2025</t>
        </is>
      </c>
      <c r="F181" s="8" t="inlineStr">
        <is>
          <t>K30</t>
        </is>
      </c>
      <c r="G181" s="4">
        <f>'Assumptions'!K17</f>
        <v/>
      </c>
      <c r="H181" s="4" t="inlineStr">
        <is>
          <t>input link</t>
        </is>
      </c>
    </row>
    <row r="182">
      <c r="B182" s="4" t="inlineStr">
        <is>
          <t>Model</t>
        </is>
      </c>
      <c r="C182" s="8" t="inlineStr">
        <is>
          <t>market_small</t>
        </is>
      </c>
      <c r="D182" s="4" t="inlineStr">
        <is>
          <t>소형 시장판매대수</t>
        </is>
      </c>
      <c r="E182" s="4" t="inlineStr">
        <is>
          <t>2026</t>
        </is>
      </c>
      <c r="F182" s="8" t="inlineStr">
        <is>
          <t>L30</t>
        </is>
      </c>
      <c r="G182" s="4">
        <f>'Assumptions'!L17</f>
        <v/>
      </c>
      <c r="H182" s="4" t="inlineStr">
        <is>
          <t>input link</t>
        </is>
      </c>
    </row>
    <row r="183">
      <c r="B183" s="4" t="inlineStr">
        <is>
          <t>Model</t>
        </is>
      </c>
      <c r="C183" s="8" t="inlineStr">
        <is>
          <t>market_small</t>
        </is>
      </c>
      <c r="D183" s="4" t="inlineStr">
        <is>
          <t>소형 시장판매대수</t>
        </is>
      </c>
      <c r="E183" s="4" t="inlineStr">
        <is>
          <t>2027</t>
        </is>
      </c>
      <c r="F183" s="8" t="inlineStr">
        <is>
          <t>M30</t>
        </is>
      </c>
      <c r="G183" s="4">
        <f>'Assumptions'!M17</f>
        <v/>
      </c>
      <c r="H183" s="4" t="inlineStr">
        <is>
          <t>input link</t>
        </is>
      </c>
    </row>
    <row r="184">
      <c r="B184" s="4" t="inlineStr">
        <is>
          <t>Model</t>
        </is>
      </c>
      <c r="C184" s="8" t="inlineStr">
        <is>
          <t>market_small</t>
        </is>
      </c>
      <c r="D184" s="4" t="inlineStr">
        <is>
          <t>소형 시장판매대수</t>
        </is>
      </c>
      <c r="E184" s="4" t="inlineStr">
        <is>
          <t>2028</t>
        </is>
      </c>
      <c r="F184" s="8" t="inlineStr">
        <is>
          <t>N30</t>
        </is>
      </c>
      <c r="G184" s="4">
        <f>'Assumptions'!N17</f>
        <v/>
      </c>
      <c r="H184" s="4" t="inlineStr">
        <is>
          <t>input link</t>
        </is>
      </c>
    </row>
    <row r="185">
      <c r="B185" s="4" t="inlineStr">
        <is>
          <t>Model</t>
        </is>
      </c>
      <c r="C185" s="8" t="inlineStr">
        <is>
          <t>market_small</t>
        </is>
      </c>
      <c r="D185" s="4" t="inlineStr">
        <is>
          <t>소형 시장판매대수</t>
        </is>
      </c>
      <c r="E185" s="4" t="inlineStr">
        <is>
          <t>2029</t>
        </is>
      </c>
      <c r="F185" s="8" t="inlineStr">
        <is>
          <t>O30</t>
        </is>
      </c>
      <c r="G185" s="4">
        <f>'Assumptions'!O17</f>
        <v/>
      </c>
      <c r="H185" s="4" t="inlineStr">
        <is>
          <t>input link</t>
        </is>
      </c>
    </row>
    <row r="186">
      <c r="B186" s="4" t="inlineStr">
        <is>
          <t>Model</t>
        </is>
      </c>
      <c r="C186" s="8" t="inlineStr">
        <is>
          <t>ec_small_share</t>
        </is>
      </c>
      <c r="D186" s="4" t="inlineStr">
        <is>
          <t>이커머스 소형 점유율</t>
        </is>
      </c>
      <c r="E186" s="4" t="inlineStr">
        <is>
          <t>2023</t>
        </is>
      </c>
      <c r="F186" s="8" t="inlineStr">
        <is>
          <t>I31</t>
        </is>
      </c>
      <c r="G186" s="4">
        <f>'Assumptions'!I18</f>
        <v/>
      </c>
      <c r="H186" s="4" t="inlineStr">
        <is>
          <t>input link</t>
        </is>
      </c>
    </row>
    <row r="187">
      <c r="B187" s="4" t="inlineStr">
        <is>
          <t>Model</t>
        </is>
      </c>
      <c r="C187" s="8" t="inlineStr">
        <is>
          <t>ec_small_share</t>
        </is>
      </c>
      <c r="D187" s="4" t="inlineStr">
        <is>
          <t>이커머스 소형 점유율</t>
        </is>
      </c>
      <c r="E187" s="4" t="inlineStr">
        <is>
          <t>2024</t>
        </is>
      </c>
      <c r="F187" s="8" t="inlineStr">
        <is>
          <t>J31</t>
        </is>
      </c>
      <c r="G187" s="4">
        <f>'Assumptions'!J18</f>
        <v/>
      </c>
      <c r="H187" s="4" t="inlineStr">
        <is>
          <t>input link</t>
        </is>
      </c>
    </row>
    <row r="188">
      <c r="B188" s="4" t="inlineStr">
        <is>
          <t>Model</t>
        </is>
      </c>
      <c r="C188" s="8" t="inlineStr">
        <is>
          <t>ec_small_share</t>
        </is>
      </c>
      <c r="D188" s="4" t="inlineStr">
        <is>
          <t>이커머스 소형 점유율</t>
        </is>
      </c>
      <c r="E188" s="4" t="inlineStr">
        <is>
          <t>2025</t>
        </is>
      </c>
      <c r="F188" s="8" t="inlineStr">
        <is>
          <t>K31</t>
        </is>
      </c>
      <c r="G188" s="4">
        <f>'Assumptions'!K18</f>
        <v/>
      </c>
      <c r="H188" s="4" t="inlineStr">
        <is>
          <t>input link</t>
        </is>
      </c>
    </row>
    <row r="189">
      <c r="B189" s="4" t="inlineStr">
        <is>
          <t>Model</t>
        </is>
      </c>
      <c r="C189" s="8" t="inlineStr">
        <is>
          <t>ec_small_share</t>
        </is>
      </c>
      <c r="D189" s="4" t="inlineStr">
        <is>
          <t>이커머스 소형 점유율</t>
        </is>
      </c>
      <c r="E189" s="4" t="inlineStr">
        <is>
          <t>2026</t>
        </is>
      </c>
      <c r="F189" s="8" t="inlineStr">
        <is>
          <t>L31</t>
        </is>
      </c>
      <c r="G189" s="4">
        <f>'Assumptions'!L18</f>
        <v/>
      </c>
      <c r="H189" s="4" t="inlineStr">
        <is>
          <t>input link</t>
        </is>
      </c>
    </row>
    <row r="190">
      <c r="B190" s="4" t="inlineStr">
        <is>
          <t>Model</t>
        </is>
      </c>
      <c r="C190" s="8" t="inlineStr">
        <is>
          <t>ec_small_share</t>
        </is>
      </c>
      <c r="D190" s="4" t="inlineStr">
        <is>
          <t>이커머스 소형 점유율</t>
        </is>
      </c>
      <c r="E190" s="4" t="inlineStr">
        <is>
          <t>2027</t>
        </is>
      </c>
      <c r="F190" s="8" t="inlineStr">
        <is>
          <t>M31</t>
        </is>
      </c>
      <c r="G190" s="4">
        <f>'Assumptions'!M18</f>
        <v/>
      </c>
      <c r="H190" s="4" t="inlineStr">
        <is>
          <t>input link</t>
        </is>
      </c>
    </row>
    <row r="191">
      <c r="B191" s="4" t="inlineStr">
        <is>
          <t>Model</t>
        </is>
      </c>
      <c r="C191" s="8" t="inlineStr">
        <is>
          <t>ec_small_share</t>
        </is>
      </c>
      <c r="D191" s="4" t="inlineStr">
        <is>
          <t>이커머스 소형 점유율</t>
        </is>
      </c>
      <c r="E191" s="4" t="inlineStr">
        <is>
          <t>2028</t>
        </is>
      </c>
      <c r="F191" s="8" t="inlineStr">
        <is>
          <t>N31</t>
        </is>
      </c>
      <c r="G191" s="4">
        <f>'Assumptions'!N18</f>
        <v/>
      </c>
      <c r="H191" s="4" t="inlineStr">
        <is>
          <t>input link</t>
        </is>
      </c>
    </row>
    <row r="192">
      <c r="B192" s="4" t="inlineStr">
        <is>
          <t>Model</t>
        </is>
      </c>
      <c r="C192" s="8" t="inlineStr">
        <is>
          <t>ec_small_share</t>
        </is>
      </c>
      <c r="D192" s="4" t="inlineStr">
        <is>
          <t>이커머스 소형 점유율</t>
        </is>
      </c>
      <c r="E192" s="4" t="inlineStr">
        <is>
          <t>2029</t>
        </is>
      </c>
      <c r="F192" s="8" t="inlineStr">
        <is>
          <t>O31</t>
        </is>
      </c>
      <c r="G192" s="4">
        <f>'Assumptions'!O18</f>
        <v/>
      </c>
      <c r="H192" s="4" t="inlineStr">
        <is>
          <t>input link</t>
        </is>
      </c>
    </row>
    <row r="193">
      <c r="B193" s="4" t="inlineStr">
        <is>
          <t>Model</t>
        </is>
      </c>
      <c r="C193" s="8" t="inlineStr">
        <is>
          <t>ec_small_volume</t>
        </is>
      </c>
      <c r="D193" s="4" t="inlineStr">
        <is>
          <t>이커머스 소형 판매대수</t>
        </is>
      </c>
      <c r="E193" s="4" t="inlineStr">
        <is>
          <t>2023</t>
        </is>
      </c>
      <c r="F193" s="8" t="inlineStr">
        <is>
          <t>I32</t>
        </is>
      </c>
      <c r="G193" s="4">
        <f>(I30*I31)</f>
        <v/>
      </c>
      <c r="H193" s="4" t="inlineStr">
        <is>
          <t>calculation</t>
        </is>
      </c>
    </row>
    <row r="194">
      <c r="B194" s="4" t="inlineStr">
        <is>
          <t>Model</t>
        </is>
      </c>
      <c r="C194" s="8" t="inlineStr">
        <is>
          <t>ec_small_volume</t>
        </is>
      </c>
      <c r="D194" s="4" t="inlineStr">
        <is>
          <t>이커머스 소형 판매대수</t>
        </is>
      </c>
      <c r="E194" s="4" t="inlineStr">
        <is>
          <t>2024</t>
        </is>
      </c>
      <c r="F194" s="8" t="inlineStr">
        <is>
          <t>J32</t>
        </is>
      </c>
      <c r="G194" s="4">
        <f>(J30*J31)</f>
        <v/>
      </c>
      <c r="H194" s="4" t="inlineStr">
        <is>
          <t>calculation</t>
        </is>
      </c>
    </row>
    <row r="195">
      <c r="B195" s="4" t="inlineStr">
        <is>
          <t>Model</t>
        </is>
      </c>
      <c r="C195" s="8" t="inlineStr">
        <is>
          <t>ec_small_volume</t>
        </is>
      </c>
      <c r="D195" s="4" t="inlineStr">
        <is>
          <t>이커머스 소형 판매대수</t>
        </is>
      </c>
      <c r="E195" s="4" t="inlineStr">
        <is>
          <t>2025</t>
        </is>
      </c>
      <c r="F195" s="8" t="inlineStr">
        <is>
          <t>K32</t>
        </is>
      </c>
      <c r="G195" s="4">
        <f>(K30*K31)</f>
        <v/>
      </c>
      <c r="H195" s="4" t="inlineStr">
        <is>
          <t>calculation</t>
        </is>
      </c>
    </row>
    <row r="196">
      <c r="B196" s="4" t="inlineStr">
        <is>
          <t>Model</t>
        </is>
      </c>
      <c r="C196" s="8" t="inlineStr">
        <is>
          <t>ec_small_volume</t>
        </is>
      </c>
      <c r="D196" s="4" t="inlineStr">
        <is>
          <t>이커머스 소형 판매대수</t>
        </is>
      </c>
      <c r="E196" s="4" t="inlineStr">
        <is>
          <t>2026</t>
        </is>
      </c>
      <c r="F196" s="8" t="inlineStr">
        <is>
          <t>L32</t>
        </is>
      </c>
      <c r="G196" s="4">
        <f>(L30*L31)</f>
        <v/>
      </c>
      <c r="H196" s="4" t="inlineStr">
        <is>
          <t>calculation</t>
        </is>
      </c>
    </row>
    <row r="197">
      <c r="B197" s="4" t="inlineStr">
        <is>
          <t>Model</t>
        </is>
      </c>
      <c r="C197" s="8" t="inlineStr">
        <is>
          <t>ec_small_volume</t>
        </is>
      </c>
      <c r="D197" s="4" t="inlineStr">
        <is>
          <t>이커머스 소형 판매대수</t>
        </is>
      </c>
      <c r="E197" s="4" t="inlineStr">
        <is>
          <t>2027</t>
        </is>
      </c>
      <c r="F197" s="8" t="inlineStr">
        <is>
          <t>M32</t>
        </is>
      </c>
      <c r="G197" s="4">
        <f>(M30*M31)</f>
        <v/>
      </c>
      <c r="H197" s="4" t="inlineStr">
        <is>
          <t>calculation</t>
        </is>
      </c>
    </row>
    <row r="198">
      <c r="B198" s="4" t="inlineStr">
        <is>
          <t>Model</t>
        </is>
      </c>
      <c r="C198" s="8" t="inlineStr">
        <is>
          <t>ec_small_volume</t>
        </is>
      </c>
      <c r="D198" s="4" t="inlineStr">
        <is>
          <t>이커머스 소형 판매대수</t>
        </is>
      </c>
      <c r="E198" s="4" t="inlineStr">
        <is>
          <t>2028</t>
        </is>
      </c>
      <c r="F198" s="8" t="inlineStr">
        <is>
          <t>N32</t>
        </is>
      </c>
      <c r="G198" s="4">
        <f>(N30*N31)</f>
        <v/>
      </c>
      <c r="H198" s="4" t="inlineStr">
        <is>
          <t>calculation</t>
        </is>
      </c>
    </row>
    <row r="199">
      <c r="B199" s="4" t="inlineStr">
        <is>
          <t>Model</t>
        </is>
      </c>
      <c r="C199" s="8" t="inlineStr">
        <is>
          <t>ec_small_volume</t>
        </is>
      </c>
      <c r="D199" s="4" t="inlineStr">
        <is>
          <t>이커머스 소형 판매대수</t>
        </is>
      </c>
      <c r="E199" s="4" t="inlineStr">
        <is>
          <t>2029</t>
        </is>
      </c>
      <c r="F199" s="8" t="inlineStr">
        <is>
          <t>O32</t>
        </is>
      </c>
      <c r="G199" s="4">
        <f>(O30*O31)</f>
        <v/>
      </c>
      <c r="H199" s="4" t="inlineStr">
        <is>
          <t>calculation</t>
        </is>
      </c>
    </row>
    <row r="200">
      <c r="B200" s="4" t="inlineStr">
        <is>
          <t>Model</t>
        </is>
      </c>
      <c r="C200" s="8" t="inlineStr">
        <is>
          <t>ec_small_asp</t>
        </is>
      </c>
      <c r="D200" s="4" t="inlineStr">
        <is>
          <t>이커머스 소형 ASP</t>
        </is>
      </c>
      <c r="E200" s="4" t="inlineStr">
        <is>
          <t>2023</t>
        </is>
      </c>
      <c r="F200" s="8" t="inlineStr">
        <is>
          <t>I33</t>
        </is>
      </c>
      <c r="G200" s="4">
        <f>'Assumptions'!I19</f>
        <v/>
      </c>
      <c r="H200" s="4" t="inlineStr">
        <is>
          <t>input link</t>
        </is>
      </c>
    </row>
    <row r="201">
      <c r="B201" s="4" t="inlineStr">
        <is>
          <t>Model</t>
        </is>
      </c>
      <c r="C201" s="8" t="inlineStr">
        <is>
          <t>ec_small_asp</t>
        </is>
      </c>
      <c r="D201" s="4" t="inlineStr">
        <is>
          <t>이커머스 소형 ASP</t>
        </is>
      </c>
      <c r="E201" s="4" t="inlineStr">
        <is>
          <t>2024</t>
        </is>
      </c>
      <c r="F201" s="8" t="inlineStr">
        <is>
          <t>J33</t>
        </is>
      </c>
      <c r="G201" s="4">
        <f>'Assumptions'!J19</f>
        <v/>
      </c>
      <c r="H201" s="4" t="inlineStr">
        <is>
          <t>input link</t>
        </is>
      </c>
    </row>
    <row r="202">
      <c r="B202" s="4" t="inlineStr">
        <is>
          <t>Model</t>
        </is>
      </c>
      <c r="C202" s="8" t="inlineStr">
        <is>
          <t>ec_small_asp</t>
        </is>
      </c>
      <c r="D202" s="4" t="inlineStr">
        <is>
          <t>이커머스 소형 ASP</t>
        </is>
      </c>
      <c r="E202" s="4" t="inlineStr">
        <is>
          <t>2025</t>
        </is>
      </c>
      <c r="F202" s="8" t="inlineStr">
        <is>
          <t>K33</t>
        </is>
      </c>
      <c r="G202" s="4">
        <f>'Assumptions'!K19</f>
        <v/>
      </c>
      <c r="H202" s="4" t="inlineStr">
        <is>
          <t>input link</t>
        </is>
      </c>
    </row>
    <row r="203">
      <c r="B203" s="4" t="inlineStr">
        <is>
          <t>Model</t>
        </is>
      </c>
      <c r="C203" s="8" t="inlineStr">
        <is>
          <t>ec_small_asp</t>
        </is>
      </c>
      <c r="D203" s="4" t="inlineStr">
        <is>
          <t>이커머스 소형 ASP</t>
        </is>
      </c>
      <c r="E203" s="4" t="inlineStr">
        <is>
          <t>2026</t>
        </is>
      </c>
      <c r="F203" s="8" t="inlineStr">
        <is>
          <t>L33</t>
        </is>
      </c>
      <c r="G203" s="4">
        <f>'Assumptions'!L19</f>
        <v/>
      </c>
      <c r="H203" s="4" t="inlineStr">
        <is>
          <t>input link</t>
        </is>
      </c>
    </row>
    <row r="204">
      <c r="B204" s="4" t="inlineStr">
        <is>
          <t>Model</t>
        </is>
      </c>
      <c r="C204" s="8" t="inlineStr">
        <is>
          <t>ec_small_asp</t>
        </is>
      </c>
      <c r="D204" s="4" t="inlineStr">
        <is>
          <t>이커머스 소형 ASP</t>
        </is>
      </c>
      <c r="E204" s="4" t="inlineStr">
        <is>
          <t>2027</t>
        </is>
      </c>
      <c r="F204" s="8" t="inlineStr">
        <is>
          <t>M33</t>
        </is>
      </c>
      <c r="G204" s="4">
        <f>'Assumptions'!M19</f>
        <v/>
      </c>
      <c r="H204" s="4" t="inlineStr">
        <is>
          <t>input link</t>
        </is>
      </c>
    </row>
    <row r="205">
      <c r="B205" s="4" t="inlineStr">
        <is>
          <t>Model</t>
        </is>
      </c>
      <c r="C205" s="8" t="inlineStr">
        <is>
          <t>ec_small_asp</t>
        </is>
      </c>
      <c r="D205" s="4" t="inlineStr">
        <is>
          <t>이커머스 소형 ASP</t>
        </is>
      </c>
      <c r="E205" s="4" t="inlineStr">
        <is>
          <t>2028</t>
        </is>
      </c>
      <c r="F205" s="8" t="inlineStr">
        <is>
          <t>N33</t>
        </is>
      </c>
      <c r="G205" s="4">
        <f>'Assumptions'!N19</f>
        <v/>
      </c>
      <c r="H205" s="4" t="inlineStr">
        <is>
          <t>input link</t>
        </is>
      </c>
    </row>
    <row r="206">
      <c r="B206" s="4" t="inlineStr">
        <is>
          <t>Model</t>
        </is>
      </c>
      <c r="C206" s="8" t="inlineStr">
        <is>
          <t>ec_small_asp</t>
        </is>
      </c>
      <c r="D206" s="4" t="inlineStr">
        <is>
          <t>이커머스 소형 ASP</t>
        </is>
      </c>
      <c r="E206" s="4" t="inlineStr">
        <is>
          <t>2029</t>
        </is>
      </c>
      <c r="F206" s="8" t="inlineStr">
        <is>
          <t>O33</t>
        </is>
      </c>
      <c r="G206" s="4">
        <f>'Assumptions'!O19</f>
        <v/>
      </c>
      <c r="H206" s="4" t="inlineStr">
        <is>
          <t>input link</t>
        </is>
      </c>
    </row>
    <row r="207">
      <c r="B207" s="4" t="inlineStr">
        <is>
          <t>Model</t>
        </is>
      </c>
      <c r="C207" s="8" t="inlineStr">
        <is>
          <t>ec_truck_rev</t>
        </is>
      </c>
      <c r="D207" s="4" t="inlineStr">
        <is>
          <t>이커머스 화물차</t>
        </is>
      </c>
      <c r="E207" s="4" t="inlineStr">
        <is>
          <t>2023</t>
        </is>
      </c>
      <c r="F207" s="8" t="inlineStr">
        <is>
          <t>I34</t>
        </is>
      </c>
      <c r="G207" s="4">
        <f>(I37*I38)</f>
        <v/>
      </c>
      <c r="H207" s="4" t="inlineStr">
        <is>
          <t>calculation</t>
        </is>
      </c>
    </row>
    <row r="208">
      <c r="B208" s="4" t="inlineStr">
        <is>
          <t>Model</t>
        </is>
      </c>
      <c r="C208" s="8" t="inlineStr">
        <is>
          <t>ec_truck_rev</t>
        </is>
      </c>
      <c r="D208" s="4" t="inlineStr">
        <is>
          <t>이커머스 화물차</t>
        </is>
      </c>
      <c r="E208" s="4" t="inlineStr">
        <is>
          <t>2024</t>
        </is>
      </c>
      <c r="F208" s="8" t="inlineStr">
        <is>
          <t>J34</t>
        </is>
      </c>
      <c r="G208" s="4">
        <f>(J37*J38)</f>
        <v/>
      </c>
      <c r="H208" s="4" t="inlineStr">
        <is>
          <t>calculation</t>
        </is>
      </c>
    </row>
    <row r="209">
      <c r="B209" s="4" t="inlineStr">
        <is>
          <t>Model</t>
        </is>
      </c>
      <c r="C209" s="8" t="inlineStr">
        <is>
          <t>ec_truck_rev</t>
        </is>
      </c>
      <c r="D209" s="4" t="inlineStr">
        <is>
          <t>이커머스 화물차</t>
        </is>
      </c>
      <c r="E209" s="4" t="inlineStr">
        <is>
          <t>2025</t>
        </is>
      </c>
      <c r="F209" s="8" t="inlineStr">
        <is>
          <t>K34</t>
        </is>
      </c>
      <c r="G209" s="4">
        <f>(K37*K38)</f>
        <v/>
      </c>
      <c r="H209" s="4" t="inlineStr">
        <is>
          <t>calculation</t>
        </is>
      </c>
    </row>
    <row r="210">
      <c r="B210" s="4" t="inlineStr">
        <is>
          <t>Model</t>
        </is>
      </c>
      <c r="C210" s="8" t="inlineStr">
        <is>
          <t>ec_truck_rev</t>
        </is>
      </c>
      <c r="D210" s="4" t="inlineStr">
        <is>
          <t>이커머스 화물차</t>
        </is>
      </c>
      <c r="E210" s="4" t="inlineStr">
        <is>
          <t>2026</t>
        </is>
      </c>
      <c r="F210" s="8" t="inlineStr">
        <is>
          <t>L34</t>
        </is>
      </c>
      <c r="G210" s="4">
        <f>(L37*L38)</f>
        <v/>
      </c>
      <c r="H210" s="4" t="inlineStr">
        <is>
          <t>calculation</t>
        </is>
      </c>
    </row>
    <row r="211">
      <c r="B211" s="4" t="inlineStr">
        <is>
          <t>Model</t>
        </is>
      </c>
      <c r="C211" s="8" t="inlineStr">
        <is>
          <t>ec_truck_rev</t>
        </is>
      </c>
      <c r="D211" s="4" t="inlineStr">
        <is>
          <t>이커머스 화물차</t>
        </is>
      </c>
      <c r="E211" s="4" t="inlineStr">
        <is>
          <t>2027</t>
        </is>
      </c>
      <c r="F211" s="8" t="inlineStr">
        <is>
          <t>M34</t>
        </is>
      </c>
      <c r="G211" s="4">
        <f>(M37*M38)</f>
        <v/>
      </c>
      <c r="H211" s="4" t="inlineStr">
        <is>
          <t>calculation</t>
        </is>
      </c>
    </row>
    <row r="212">
      <c r="B212" s="4" t="inlineStr">
        <is>
          <t>Model</t>
        </is>
      </c>
      <c r="C212" s="8" t="inlineStr">
        <is>
          <t>ec_truck_rev</t>
        </is>
      </c>
      <c r="D212" s="4" t="inlineStr">
        <is>
          <t>이커머스 화물차</t>
        </is>
      </c>
      <c r="E212" s="4" t="inlineStr">
        <is>
          <t>2028</t>
        </is>
      </c>
      <c r="F212" s="8" t="inlineStr">
        <is>
          <t>N34</t>
        </is>
      </c>
      <c r="G212" s="4">
        <f>(N37*N38)</f>
        <v/>
      </c>
      <c r="H212" s="4" t="inlineStr">
        <is>
          <t>calculation</t>
        </is>
      </c>
    </row>
    <row r="213">
      <c r="B213" s="4" t="inlineStr">
        <is>
          <t>Model</t>
        </is>
      </c>
      <c r="C213" s="8" t="inlineStr">
        <is>
          <t>ec_truck_rev</t>
        </is>
      </c>
      <c r="D213" s="4" t="inlineStr">
        <is>
          <t>이커머스 화물차</t>
        </is>
      </c>
      <c r="E213" s="4" t="inlineStr">
        <is>
          <t>2029</t>
        </is>
      </c>
      <c r="F213" s="8" t="inlineStr">
        <is>
          <t>O34</t>
        </is>
      </c>
      <c r="G213" s="4">
        <f>(O37*O38)</f>
        <v/>
      </c>
      <c r="H213" s="4" t="inlineStr">
        <is>
          <t>calculation</t>
        </is>
      </c>
    </row>
    <row r="214">
      <c r="B214" s="4" t="inlineStr">
        <is>
          <t>Model</t>
        </is>
      </c>
      <c r="C214" s="8" t="inlineStr">
        <is>
          <t>market_truck</t>
        </is>
      </c>
      <c r="D214" s="4" t="inlineStr">
        <is>
          <t>화물차 시장판매대수</t>
        </is>
      </c>
      <c r="E214" s="4" t="inlineStr">
        <is>
          <t>2023</t>
        </is>
      </c>
      <c r="F214" s="8" t="inlineStr">
        <is>
          <t>I35</t>
        </is>
      </c>
      <c r="G214" s="4">
        <f>'Assumptions'!I20</f>
        <v/>
      </c>
      <c r="H214" s="4" t="inlineStr">
        <is>
          <t>input link</t>
        </is>
      </c>
    </row>
    <row r="215">
      <c r="B215" s="4" t="inlineStr">
        <is>
          <t>Model</t>
        </is>
      </c>
      <c r="C215" s="8" t="inlineStr">
        <is>
          <t>market_truck</t>
        </is>
      </c>
      <c r="D215" s="4" t="inlineStr">
        <is>
          <t>화물차 시장판매대수</t>
        </is>
      </c>
      <c r="E215" s="4" t="inlineStr">
        <is>
          <t>2024</t>
        </is>
      </c>
      <c r="F215" s="8" t="inlineStr">
        <is>
          <t>J35</t>
        </is>
      </c>
      <c r="G215" s="4">
        <f>'Assumptions'!J20</f>
        <v/>
      </c>
      <c r="H215" s="4" t="inlineStr">
        <is>
          <t>input link</t>
        </is>
      </c>
    </row>
    <row r="216">
      <c r="B216" s="4" t="inlineStr">
        <is>
          <t>Model</t>
        </is>
      </c>
      <c r="C216" s="8" t="inlineStr">
        <is>
          <t>market_truck</t>
        </is>
      </c>
      <c r="D216" s="4" t="inlineStr">
        <is>
          <t>화물차 시장판매대수</t>
        </is>
      </c>
      <c r="E216" s="4" t="inlineStr">
        <is>
          <t>2025</t>
        </is>
      </c>
      <c r="F216" s="8" t="inlineStr">
        <is>
          <t>K35</t>
        </is>
      </c>
      <c r="G216" s="4">
        <f>'Assumptions'!K20</f>
        <v/>
      </c>
      <c r="H216" s="4" t="inlineStr">
        <is>
          <t>input link</t>
        </is>
      </c>
    </row>
    <row r="217">
      <c r="B217" s="4" t="inlineStr">
        <is>
          <t>Model</t>
        </is>
      </c>
      <c r="C217" s="8" t="inlineStr">
        <is>
          <t>market_truck</t>
        </is>
      </c>
      <c r="D217" s="4" t="inlineStr">
        <is>
          <t>화물차 시장판매대수</t>
        </is>
      </c>
      <c r="E217" s="4" t="inlineStr">
        <is>
          <t>2026</t>
        </is>
      </c>
      <c r="F217" s="8" t="inlineStr">
        <is>
          <t>L35</t>
        </is>
      </c>
      <c r="G217" s="4">
        <f>'Assumptions'!L20</f>
        <v/>
      </c>
      <c r="H217" s="4" t="inlineStr">
        <is>
          <t>input link</t>
        </is>
      </c>
    </row>
    <row r="218">
      <c r="B218" s="4" t="inlineStr">
        <is>
          <t>Model</t>
        </is>
      </c>
      <c r="C218" s="8" t="inlineStr">
        <is>
          <t>market_truck</t>
        </is>
      </c>
      <c r="D218" s="4" t="inlineStr">
        <is>
          <t>화물차 시장판매대수</t>
        </is>
      </c>
      <c r="E218" s="4" t="inlineStr">
        <is>
          <t>2027</t>
        </is>
      </c>
      <c r="F218" s="8" t="inlineStr">
        <is>
          <t>M35</t>
        </is>
      </c>
      <c r="G218" s="4">
        <f>'Assumptions'!M20</f>
        <v/>
      </c>
      <c r="H218" s="4" t="inlineStr">
        <is>
          <t>input link</t>
        </is>
      </c>
    </row>
    <row r="219">
      <c r="B219" s="4" t="inlineStr">
        <is>
          <t>Model</t>
        </is>
      </c>
      <c r="C219" s="8" t="inlineStr">
        <is>
          <t>market_truck</t>
        </is>
      </c>
      <c r="D219" s="4" t="inlineStr">
        <is>
          <t>화물차 시장판매대수</t>
        </is>
      </c>
      <c r="E219" s="4" t="inlineStr">
        <is>
          <t>2028</t>
        </is>
      </c>
      <c r="F219" s="8" t="inlineStr">
        <is>
          <t>N35</t>
        </is>
      </c>
      <c r="G219" s="4">
        <f>'Assumptions'!N20</f>
        <v/>
      </c>
      <c r="H219" s="4" t="inlineStr">
        <is>
          <t>input link</t>
        </is>
      </c>
    </row>
    <row r="220">
      <c r="B220" s="4" t="inlineStr">
        <is>
          <t>Model</t>
        </is>
      </c>
      <c r="C220" s="8" t="inlineStr">
        <is>
          <t>market_truck</t>
        </is>
      </c>
      <c r="D220" s="4" t="inlineStr">
        <is>
          <t>화물차 시장판매대수</t>
        </is>
      </c>
      <c r="E220" s="4" t="inlineStr">
        <is>
          <t>2029</t>
        </is>
      </c>
      <c r="F220" s="8" t="inlineStr">
        <is>
          <t>O35</t>
        </is>
      </c>
      <c r="G220" s="4">
        <f>'Assumptions'!O20</f>
        <v/>
      </c>
      <c r="H220" s="4" t="inlineStr">
        <is>
          <t>input link</t>
        </is>
      </c>
    </row>
    <row r="221">
      <c r="B221" s="4" t="inlineStr">
        <is>
          <t>Model</t>
        </is>
      </c>
      <c r="C221" s="8" t="inlineStr">
        <is>
          <t>ec_truck_share</t>
        </is>
      </c>
      <c r="D221" s="4" t="inlineStr">
        <is>
          <t>이커머스 화물차 점유율</t>
        </is>
      </c>
      <c r="E221" s="4" t="inlineStr">
        <is>
          <t>2023</t>
        </is>
      </c>
      <c r="F221" s="8" t="inlineStr">
        <is>
          <t>I36</t>
        </is>
      </c>
      <c r="G221" s="4">
        <f>'Assumptions'!I21</f>
        <v/>
      </c>
      <c r="H221" s="4" t="inlineStr">
        <is>
          <t>input link</t>
        </is>
      </c>
    </row>
    <row r="222">
      <c r="B222" s="4" t="inlineStr">
        <is>
          <t>Model</t>
        </is>
      </c>
      <c r="C222" s="8" t="inlineStr">
        <is>
          <t>ec_truck_share</t>
        </is>
      </c>
      <c r="D222" s="4" t="inlineStr">
        <is>
          <t>이커머스 화물차 점유율</t>
        </is>
      </c>
      <c r="E222" s="4" t="inlineStr">
        <is>
          <t>2024</t>
        </is>
      </c>
      <c r="F222" s="8" t="inlineStr">
        <is>
          <t>J36</t>
        </is>
      </c>
      <c r="G222" s="4">
        <f>'Assumptions'!J21</f>
        <v/>
      </c>
      <c r="H222" s="4" t="inlineStr">
        <is>
          <t>input link</t>
        </is>
      </c>
    </row>
    <row r="223">
      <c r="B223" s="4" t="inlineStr">
        <is>
          <t>Model</t>
        </is>
      </c>
      <c r="C223" s="8" t="inlineStr">
        <is>
          <t>ec_truck_share</t>
        </is>
      </c>
      <c r="D223" s="4" t="inlineStr">
        <is>
          <t>이커머스 화물차 점유율</t>
        </is>
      </c>
      <c r="E223" s="4" t="inlineStr">
        <is>
          <t>2025</t>
        </is>
      </c>
      <c r="F223" s="8" t="inlineStr">
        <is>
          <t>K36</t>
        </is>
      </c>
      <c r="G223" s="4">
        <f>'Assumptions'!K21</f>
        <v/>
      </c>
      <c r="H223" s="4" t="inlineStr">
        <is>
          <t>input link</t>
        </is>
      </c>
    </row>
    <row r="224">
      <c r="B224" s="4" t="inlineStr">
        <is>
          <t>Model</t>
        </is>
      </c>
      <c r="C224" s="8" t="inlineStr">
        <is>
          <t>ec_truck_share</t>
        </is>
      </c>
      <c r="D224" s="4" t="inlineStr">
        <is>
          <t>이커머스 화물차 점유율</t>
        </is>
      </c>
      <c r="E224" s="4" t="inlineStr">
        <is>
          <t>2026</t>
        </is>
      </c>
      <c r="F224" s="8" t="inlineStr">
        <is>
          <t>L36</t>
        </is>
      </c>
      <c r="G224" s="4">
        <f>'Assumptions'!L21</f>
        <v/>
      </c>
      <c r="H224" s="4" t="inlineStr">
        <is>
          <t>input link</t>
        </is>
      </c>
    </row>
    <row r="225">
      <c r="B225" s="4" t="inlineStr">
        <is>
          <t>Model</t>
        </is>
      </c>
      <c r="C225" s="8" t="inlineStr">
        <is>
          <t>ec_truck_share</t>
        </is>
      </c>
      <c r="D225" s="4" t="inlineStr">
        <is>
          <t>이커머스 화물차 점유율</t>
        </is>
      </c>
      <c r="E225" s="4" t="inlineStr">
        <is>
          <t>2027</t>
        </is>
      </c>
      <c r="F225" s="8" t="inlineStr">
        <is>
          <t>M36</t>
        </is>
      </c>
      <c r="G225" s="4">
        <f>'Assumptions'!M21</f>
        <v/>
      </c>
      <c r="H225" s="4" t="inlineStr">
        <is>
          <t>input link</t>
        </is>
      </c>
    </row>
    <row r="226">
      <c r="B226" s="4" t="inlineStr">
        <is>
          <t>Model</t>
        </is>
      </c>
      <c r="C226" s="8" t="inlineStr">
        <is>
          <t>ec_truck_share</t>
        </is>
      </c>
      <c r="D226" s="4" t="inlineStr">
        <is>
          <t>이커머스 화물차 점유율</t>
        </is>
      </c>
      <c r="E226" s="4" t="inlineStr">
        <is>
          <t>2028</t>
        </is>
      </c>
      <c r="F226" s="8" t="inlineStr">
        <is>
          <t>N36</t>
        </is>
      </c>
      <c r="G226" s="4">
        <f>'Assumptions'!N21</f>
        <v/>
      </c>
      <c r="H226" s="4" t="inlineStr">
        <is>
          <t>input link</t>
        </is>
      </c>
    </row>
    <row r="227">
      <c r="B227" s="4" t="inlineStr">
        <is>
          <t>Model</t>
        </is>
      </c>
      <c r="C227" s="8" t="inlineStr">
        <is>
          <t>ec_truck_share</t>
        </is>
      </c>
      <c r="D227" s="4" t="inlineStr">
        <is>
          <t>이커머스 화물차 점유율</t>
        </is>
      </c>
      <c r="E227" s="4" t="inlineStr">
        <is>
          <t>2029</t>
        </is>
      </c>
      <c r="F227" s="8" t="inlineStr">
        <is>
          <t>O36</t>
        </is>
      </c>
      <c r="G227" s="4">
        <f>'Assumptions'!O21</f>
        <v/>
      </c>
      <c r="H227" s="4" t="inlineStr">
        <is>
          <t>input link</t>
        </is>
      </c>
    </row>
    <row r="228">
      <c r="B228" s="4" t="inlineStr">
        <is>
          <t>Model</t>
        </is>
      </c>
      <c r="C228" s="8" t="inlineStr">
        <is>
          <t>ec_truck_volume</t>
        </is>
      </c>
      <c r="D228" s="4" t="inlineStr">
        <is>
          <t>이커머스 화물차 판매대수</t>
        </is>
      </c>
      <c r="E228" s="4" t="inlineStr">
        <is>
          <t>2023</t>
        </is>
      </c>
      <c r="F228" s="8" t="inlineStr">
        <is>
          <t>I37</t>
        </is>
      </c>
      <c r="G228" s="4">
        <f>(I35*I36)</f>
        <v/>
      </c>
      <c r="H228" s="4" t="inlineStr">
        <is>
          <t>calculation</t>
        </is>
      </c>
    </row>
    <row r="229">
      <c r="B229" s="4" t="inlineStr">
        <is>
          <t>Model</t>
        </is>
      </c>
      <c r="C229" s="8" t="inlineStr">
        <is>
          <t>ec_truck_volume</t>
        </is>
      </c>
      <c r="D229" s="4" t="inlineStr">
        <is>
          <t>이커머스 화물차 판매대수</t>
        </is>
      </c>
      <c r="E229" s="4" t="inlineStr">
        <is>
          <t>2024</t>
        </is>
      </c>
      <c r="F229" s="8" t="inlineStr">
        <is>
          <t>J37</t>
        </is>
      </c>
      <c r="G229" s="4">
        <f>(J35*J36)</f>
        <v/>
      </c>
      <c r="H229" s="4" t="inlineStr">
        <is>
          <t>calculation</t>
        </is>
      </c>
    </row>
    <row r="230">
      <c r="B230" s="4" t="inlineStr">
        <is>
          <t>Model</t>
        </is>
      </c>
      <c r="C230" s="8" t="inlineStr">
        <is>
          <t>ec_truck_volume</t>
        </is>
      </c>
      <c r="D230" s="4" t="inlineStr">
        <is>
          <t>이커머스 화물차 판매대수</t>
        </is>
      </c>
      <c r="E230" s="4" t="inlineStr">
        <is>
          <t>2025</t>
        </is>
      </c>
      <c r="F230" s="8" t="inlineStr">
        <is>
          <t>K37</t>
        </is>
      </c>
      <c r="G230" s="4">
        <f>(K35*K36)</f>
        <v/>
      </c>
      <c r="H230" s="4" t="inlineStr">
        <is>
          <t>calculation</t>
        </is>
      </c>
    </row>
    <row r="231">
      <c r="B231" s="4" t="inlineStr">
        <is>
          <t>Model</t>
        </is>
      </c>
      <c r="C231" s="8" t="inlineStr">
        <is>
          <t>ec_truck_volume</t>
        </is>
      </c>
      <c r="D231" s="4" t="inlineStr">
        <is>
          <t>이커머스 화물차 판매대수</t>
        </is>
      </c>
      <c r="E231" s="4" t="inlineStr">
        <is>
          <t>2026</t>
        </is>
      </c>
      <c r="F231" s="8" t="inlineStr">
        <is>
          <t>L37</t>
        </is>
      </c>
      <c r="G231" s="4">
        <f>(L35*L36)</f>
        <v/>
      </c>
      <c r="H231" s="4" t="inlineStr">
        <is>
          <t>calculation</t>
        </is>
      </c>
    </row>
    <row r="232">
      <c r="B232" s="4" t="inlineStr">
        <is>
          <t>Model</t>
        </is>
      </c>
      <c r="C232" s="8" t="inlineStr">
        <is>
          <t>ec_truck_volume</t>
        </is>
      </c>
      <c r="D232" s="4" t="inlineStr">
        <is>
          <t>이커머스 화물차 판매대수</t>
        </is>
      </c>
      <c r="E232" s="4" t="inlineStr">
        <is>
          <t>2027</t>
        </is>
      </c>
      <c r="F232" s="8" t="inlineStr">
        <is>
          <t>M37</t>
        </is>
      </c>
      <c r="G232" s="4">
        <f>(M35*M36)</f>
        <v/>
      </c>
      <c r="H232" s="4" t="inlineStr">
        <is>
          <t>calculation</t>
        </is>
      </c>
    </row>
    <row r="233">
      <c r="B233" s="4" t="inlineStr">
        <is>
          <t>Model</t>
        </is>
      </c>
      <c r="C233" s="8" t="inlineStr">
        <is>
          <t>ec_truck_volume</t>
        </is>
      </c>
      <c r="D233" s="4" t="inlineStr">
        <is>
          <t>이커머스 화물차 판매대수</t>
        </is>
      </c>
      <c r="E233" s="4" t="inlineStr">
        <is>
          <t>2028</t>
        </is>
      </c>
      <c r="F233" s="8" t="inlineStr">
        <is>
          <t>N37</t>
        </is>
      </c>
      <c r="G233" s="4">
        <f>(N35*N36)</f>
        <v/>
      </c>
      <c r="H233" s="4" t="inlineStr">
        <is>
          <t>calculation</t>
        </is>
      </c>
    </row>
    <row r="234">
      <c r="B234" s="4" t="inlineStr">
        <is>
          <t>Model</t>
        </is>
      </c>
      <c r="C234" s="8" t="inlineStr">
        <is>
          <t>ec_truck_volume</t>
        </is>
      </c>
      <c r="D234" s="4" t="inlineStr">
        <is>
          <t>이커머스 화물차 판매대수</t>
        </is>
      </c>
      <c r="E234" s="4" t="inlineStr">
        <is>
          <t>2029</t>
        </is>
      </c>
      <c r="F234" s="8" t="inlineStr">
        <is>
          <t>O37</t>
        </is>
      </c>
      <c r="G234" s="4">
        <f>(O35*O36)</f>
        <v/>
      </c>
      <c r="H234" s="4" t="inlineStr">
        <is>
          <t>calculation</t>
        </is>
      </c>
    </row>
    <row r="235">
      <c r="B235" s="4" t="inlineStr">
        <is>
          <t>Model</t>
        </is>
      </c>
      <c r="C235" s="8" t="inlineStr">
        <is>
          <t>ec_truck_asp</t>
        </is>
      </c>
      <c r="D235" s="4" t="inlineStr">
        <is>
          <t>이커머스 화물차 ASP</t>
        </is>
      </c>
      <c r="E235" s="4" t="inlineStr">
        <is>
          <t>2023</t>
        </is>
      </c>
      <c r="F235" s="8" t="inlineStr">
        <is>
          <t>I38</t>
        </is>
      </c>
      <c r="G235" s="4">
        <f>'Assumptions'!I22</f>
        <v/>
      </c>
      <c r="H235" s="4" t="inlineStr">
        <is>
          <t>input link</t>
        </is>
      </c>
    </row>
    <row r="236">
      <c r="B236" s="4" t="inlineStr">
        <is>
          <t>Model</t>
        </is>
      </c>
      <c r="C236" s="8" t="inlineStr">
        <is>
          <t>ec_truck_asp</t>
        </is>
      </c>
      <c r="D236" s="4" t="inlineStr">
        <is>
          <t>이커머스 화물차 ASP</t>
        </is>
      </c>
      <c r="E236" s="4" t="inlineStr">
        <is>
          <t>2024</t>
        </is>
      </c>
      <c r="F236" s="8" t="inlineStr">
        <is>
          <t>J38</t>
        </is>
      </c>
      <c r="G236" s="4">
        <f>'Assumptions'!J22</f>
        <v/>
      </c>
      <c r="H236" s="4" t="inlineStr">
        <is>
          <t>input link</t>
        </is>
      </c>
    </row>
    <row r="237">
      <c r="B237" s="4" t="inlineStr">
        <is>
          <t>Model</t>
        </is>
      </c>
      <c r="C237" s="8" t="inlineStr">
        <is>
          <t>ec_truck_asp</t>
        </is>
      </c>
      <c r="D237" s="4" t="inlineStr">
        <is>
          <t>이커머스 화물차 ASP</t>
        </is>
      </c>
      <c r="E237" s="4" t="inlineStr">
        <is>
          <t>2025</t>
        </is>
      </c>
      <c r="F237" s="8" t="inlineStr">
        <is>
          <t>K38</t>
        </is>
      </c>
      <c r="G237" s="4">
        <f>'Assumptions'!K22</f>
        <v/>
      </c>
      <c r="H237" s="4" t="inlineStr">
        <is>
          <t>input link</t>
        </is>
      </c>
    </row>
    <row r="238">
      <c r="B238" s="4" t="inlineStr">
        <is>
          <t>Model</t>
        </is>
      </c>
      <c r="C238" s="8" t="inlineStr">
        <is>
          <t>ec_truck_asp</t>
        </is>
      </c>
      <c r="D238" s="4" t="inlineStr">
        <is>
          <t>이커머스 화물차 ASP</t>
        </is>
      </c>
      <c r="E238" s="4" t="inlineStr">
        <is>
          <t>2026</t>
        </is>
      </c>
      <c r="F238" s="8" t="inlineStr">
        <is>
          <t>L38</t>
        </is>
      </c>
      <c r="G238" s="4">
        <f>'Assumptions'!L22</f>
        <v/>
      </c>
      <c r="H238" s="4" t="inlineStr">
        <is>
          <t>input link</t>
        </is>
      </c>
    </row>
    <row r="239">
      <c r="B239" s="4" t="inlineStr">
        <is>
          <t>Model</t>
        </is>
      </c>
      <c r="C239" s="8" t="inlineStr">
        <is>
          <t>ec_truck_asp</t>
        </is>
      </c>
      <c r="D239" s="4" t="inlineStr">
        <is>
          <t>이커머스 화물차 ASP</t>
        </is>
      </c>
      <c r="E239" s="4" t="inlineStr">
        <is>
          <t>2027</t>
        </is>
      </c>
      <c r="F239" s="8" t="inlineStr">
        <is>
          <t>M38</t>
        </is>
      </c>
      <c r="G239" s="4">
        <f>'Assumptions'!M22</f>
        <v/>
      </c>
      <c r="H239" s="4" t="inlineStr">
        <is>
          <t>input link</t>
        </is>
      </c>
    </row>
    <row r="240">
      <c r="B240" s="4" t="inlineStr">
        <is>
          <t>Model</t>
        </is>
      </c>
      <c r="C240" s="8" t="inlineStr">
        <is>
          <t>ec_truck_asp</t>
        </is>
      </c>
      <c r="D240" s="4" t="inlineStr">
        <is>
          <t>이커머스 화물차 ASP</t>
        </is>
      </c>
      <c r="E240" s="4" t="inlineStr">
        <is>
          <t>2028</t>
        </is>
      </c>
      <c r="F240" s="8" t="inlineStr">
        <is>
          <t>N38</t>
        </is>
      </c>
      <c r="G240" s="4">
        <f>'Assumptions'!N22</f>
        <v/>
      </c>
      <c r="H240" s="4" t="inlineStr">
        <is>
          <t>input link</t>
        </is>
      </c>
    </row>
    <row r="241">
      <c r="B241" s="4" t="inlineStr">
        <is>
          <t>Model</t>
        </is>
      </c>
      <c r="C241" s="8" t="inlineStr">
        <is>
          <t>ec_truck_asp</t>
        </is>
      </c>
      <c r="D241" s="4" t="inlineStr">
        <is>
          <t>이커머스 화물차 ASP</t>
        </is>
      </c>
      <c r="E241" s="4" t="inlineStr">
        <is>
          <t>2029</t>
        </is>
      </c>
      <c r="F241" s="8" t="inlineStr">
        <is>
          <t>O38</t>
        </is>
      </c>
      <c r="G241" s="4">
        <f>'Assumptions'!O22</f>
        <v/>
      </c>
      <c r="H241" s="4" t="inlineStr">
        <is>
          <t>input link</t>
        </is>
      </c>
    </row>
    <row r="242">
      <c r="B242" s="4" t="inlineStr">
        <is>
          <t>Model</t>
        </is>
      </c>
      <c r="C242" s="8" t="inlineStr">
        <is>
          <t>ec_other_rev</t>
        </is>
      </c>
      <c r="D242" s="4" t="inlineStr">
        <is>
          <t>이커머스 기타</t>
        </is>
      </c>
      <c r="E242" s="4" t="inlineStr">
        <is>
          <t>2023</t>
        </is>
      </c>
      <c r="F242" s="8" t="inlineStr">
        <is>
          <t>I39</t>
        </is>
      </c>
      <c r="G242" s="4">
        <f>(I42*I43)</f>
        <v/>
      </c>
      <c r="H242" s="4" t="inlineStr">
        <is>
          <t>calculation</t>
        </is>
      </c>
    </row>
    <row r="243">
      <c r="B243" s="4" t="inlineStr">
        <is>
          <t>Model</t>
        </is>
      </c>
      <c r="C243" s="8" t="inlineStr">
        <is>
          <t>ec_other_rev</t>
        </is>
      </c>
      <c r="D243" s="4" t="inlineStr">
        <is>
          <t>이커머스 기타</t>
        </is>
      </c>
      <c r="E243" s="4" t="inlineStr">
        <is>
          <t>2024</t>
        </is>
      </c>
      <c r="F243" s="8" t="inlineStr">
        <is>
          <t>J39</t>
        </is>
      </c>
      <c r="G243" s="4">
        <f>(J42*J43)</f>
        <v/>
      </c>
      <c r="H243" s="4" t="inlineStr">
        <is>
          <t>calculation</t>
        </is>
      </c>
    </row>
    <row r="244">
      <c r="B244" s="4" t="inlineStr">
        <is>
          <t>Model</t>
        </is>
      </c>
      <c r="C244" s="8" t="inlineStr">
        <is>
          <t>ec_other_rev</t>
        </is>
      </c>
      <c r="D244" s="4" t="inlineStr">
        <is>
          <t>이커머스 기타</t>
        </is>
      </c>
      <c r="E244" s="4" t="inlineStr">
        <is>
          <t>2025</t>
        </is>
      </c>
      <c r="F244" s="8" t="inlineStr">
        <is>
          <t>K39</t>
        </is>
      </c>
      <c r="G244" s="4">
        <f>(K42*K43)</f>
        <v/>
      </c>
      <c r="H244" s="4" t="inlineStr">
        <is>
          <t>calculation</t>
        </is>
      </c>
    </row>
    <row r="245">
      <c r="B245" s="4" t="inlineStr">
        <is>
          <t>Model</t>
        </is>
      </c>
      <c r="C245" s="8" t="inlineStr">
        <is>
          <t>ec_other_rev</t>
        </is>
      </c>
      <c r="D245" s="4" t="inlineStr">
        <is>
          <t>이커머스 기타</t>
        </is>
      </c>
      <c r="E245" s="4" t="inlineStr">
        <is>
          <t>2026</t>
        </is>
      </c>
      <c r="F245" s="8" t="inlineStr">
        <is>
          <t>L39</t>
        </is>
      </c>
      <c r="G245" s="4">
        <f>(L42*L43)</f>
        <v/>
      </c>
      <c r="H245" s="4" t="inlineStr">
        <is>
          <t>calculation</t>
        </is>
      </c>
    </row>
    <row r="246">
      <c r="B246" s="4" t="inlineStr">
        <is>
          <t>Model</t>
        </is>
      </c>
      <c r="C246" s="8" t="inlineStr">
        <is>
          <t>ec_other_rev</t>
        </is>
      </c>
      <c r="D246" s="4" t="inlineStr">
        <is>
          <t>이커머스 기타</t>
        </is>
      </c>
      <c r="E246" s="4" t="inlineStr">
        <is>
          <t>2027</t>
        </is>
      </c>
      <c r="F246" s="8" t="inlineStr">
        <is>
          <t>M39</t>
        </is>
      </c>
      <c r="G246" s="4">
        <f>(M42*M43)</f>
        <v/>
      </c>
      <c r="H246" s="4" t="inlineStr">
        <is>
          <t>calculation</t>
        </is>
      </c>
    </row>
    <row r="247">
      <c r="B247" s="4" t="inlineStr">
        <is>
          <t>Model</t>
        </is>
      </c>
      <c r="C247" s="8" t="inlineStr">
        <is>
          <t>ec_other_rev</t>
        </is>
      </c>
      <c r="D247" s="4" t="inlineStr">
        <is>
          <t>이커머스 기타</t>
        </is>
      </c>
      <c r="E247" s="4" t="inlineStr">
        <is>
          <t>2028</t>
        </is>
      </c>
      <c r="F247" s="8" t="inlineStr">
        <is>
          <t>N39</t>
        </is>
      </c>
      <c r="G247" s="4">
        <f>(N42*N43)</f>
        <v/>
      </c>
      <c r="H247" s="4" t="inlineStr">
        <is>
          <t>calculation</t>
        </is>
      </c>
    </row>
    <row r="248">
      <c r="B248" s="4" t="inlineStr">
        <is>
          <t>Model</t>
        </is>
      </c>
      <c r="C248" s="8" t="inlineStr">
        <is>
          <t>ec_other_rev</t>
        </is>
      </c>
      <c r="D248" s="4" t="inlineStr">
        <is>
          <t>이커머스 기타</t>
        </is>
      </c>
      <c r="E248" s="4" t="inlineStr">
        <is>
          <t>2029</t>
        </is>
      </c>
      <c r="F248" s="8" t="inlineStr">
        <is>
          <t>O39</t>
        </is>
      </c>
      <c r="G248" s="4">
        <f>(O42*O43)</f>
        <v/>
      </c>
      <c r="H248" s="4" t="inlineStr">
        <is>
          <t>calculation</t>
        </is>
      </c>
    </row>
    <row r="249">
      <c r="B249" s="4" t="inlineStr">
        <is>
          <t>Model</t>
        </is>
      </c>
      <c r="C249" s="8" t="inlineStr">
        <is>
          <t>market_other</t>
        </is>
      </c>
      <c r="D249" s="4" t="inlineStr">
        <is>
          <t>기타 시장판매대수</t>
        </is>
      </c>
      <c r="E249" s="4" t="inlineStr">
        <is>
          <t>2023</t>
        </is>
      </c>
      <c r="F249" s="8" t="inlineStr">
        <is>
          <t>I40</t>
        </is>
      </c>
      <c r="G249" s="4">
        <f>'Assumptions'!I23</f>
        <v/>
      </c>
      <c r="H249" s="4" t="inlineStr">
        <is>
          <t>input link</t>
        </is>
      </c>
    </row>
    <row r="250">
      <c r="B250" s="4" t="inlineStr">
        <is>
          <t>Model</t>
        </is>
      </c>
      <c r="C250" s="8" t="inlineStr">
        <is>
          <t>market_other</t>
        </is>
      </c>
      <c r="D250" s="4" t="inlineStr">
        <is>
          <t>기타 시장판매대수</t>
        </is>
      </c>
      <c r="E250" s="4" t="inlineStr">
        <is>
          <t>2024</t>
        </is>
      </c>
      <c r="F250" s="8" t="inlineStr">
        <is>
          <t>J40</t>
        </is>
      </c>
      <c r="G250" s="4">
        <f>'Assumptions'!J23</f>
        <v/>
      </c>
      <c r="H250" s="4" t="inlineStr">
        <is>
          <t>input link</t>
        </is>
      </c>
    </row>
    <row r="251">
      <c r="B251" s="4" t="inlineStr">
        <is>
          <t>Model</t>
        </is>
      </c>
      <c r="C251" s="8" t="inlineStr">
        <is>
          <t>market_other</t>
        </is>
      </c>
      <c r="D251" s="4" t="inlineStr">
        <is>
          <t>기타 시장판매대수</t>
        </is>
      </c>
      <c r="E251" s="4" t="inlineStr">
        <is>
          <t>2025</t>
        </is>
      </c>
      <c r="F251" s="8" t="inlineStr">
        <is>
          <t>K40</t>
        </is>
      </c>
      <c r="G251" s="4">
        <f>'Assumptions'!K23</f>
        <v/>
      </c>
      <c r="H251" s="4" t="inlineStr">
        <is>
          <t>input link</t>
        </is>
      </c>
    </row>
    <row r="252">
      <c r="B252" s="4" t="inlineStr">
        <is>
          <t>Model</t>
        </is>
      </c>
      <c r="C252" s="8" t="inlineStr">
        <is>
          <t>market_other</t>
        </is>
      </c>
      <c r="D252" s="4" t="inlineStr">
        <is>
          <t>기타 시장판매대수</t>
        </is>
      </c>
      <c r="E252" s="4" t="inlineStr">
        <is>
          <t>2026</t>
        </is>
      </c>
      <c r="F252" s="8" t="inlineStr">
        <is>
          <t>L40</t>
        </is>
      </c>
      <c r="G252" s="4">
        <f>'Assumptions'!L23</f>
        <v/>
      </c>
      <c r="H252" s="4" t="inlineStr">
        <is>
          <t>input link</t>
        </is>
      </c>
    </row>
    <row r="253">
      <c r="B253" s="4" t="inlineStr">
        <is>
          <t>Model</t>
        </is>
      </c>
      <c r="C253" s="8" t="inlineStr">
        <is>
          <t>market_other</t>
        </is>
      </c>
      <c r="D253" s="4" t="inlineStr">
        <is>
          <t>기타 시장판매대수</t>
        </is>
      </c>
      <c r="E253" s="4" t="inlineStr">
        <is>
          <t>2027</t>
        </is>
      </c>
      <c r="F253" s="8" t="inlineStr">
        <is>
          <t>M40</t>
        </is>
      </c>
      <c r="G253" s="4">
        <f>'Assumptions'!M23</f>
        <v/>
      </c>
      <c r="H253" s="4" t="inlineStr">
        <is>
          <t>input link</t>
        </is>
      </c>
    </row>
    <row r="254">
      <c r="B254" s="4" t="inlineStr">
        <is>
          <t>Model</t>
        </is>
      </c>
      <c r="C254" s="8" t="inlineStr">
        <is>
          <t>market_other</t>
        </is>
      </c>
      <c r="D254" s="4" t="inlineStr">
        <is>
          <t>기타 시장판매대수</t>
        </is>
      </c>
      <c r="E254" s="4" t="inlineStr">
        <is>
          <t>2028</t>
        </is>
      </c>
      <c r="F254" s="8" t="inlineStr">
        <is>
          <t>N40</t>
        </is>
      </c>
      <c r="G254" s="4">
        <f>'Assumptions'!N23</f>
        <v/>
      </c>
      <c r="H254" s="4" t="inlineStr">
        <is>
          <t>input link</t>
        </is>
      </c>
    </row>
    <row r="255">
      <c r="B255" s="4" t="inlineStr">
        <is>
          <t>Model</t>
        </is>
      </c>
      <c r="C255" s="8" t="inlineStr">
        <is>
          <t>market_other</t>
        </is>
      </c>
      <c r="D255" s="4" t="inlineStr">
        <is>
          <t>기타 시장판매대수</t>
        </is>
      </c>
      <c r="E255" s="4" t="inlineStr">
        <is>
          <t>2029</t>
        </is>
      </c>
      <c r="F255" s="8" t="inlineStr">
        <is>
          <t>O40</t>
        </is>
      </c>
      <c r="G255" s="4">
        <f>'Assumptions'!O23</f>
        <v/>
      </c>
      <c r="H255" s="4" t="inlineStr">
        <is>
          <t>input link</t>
        </is>
      </c>
    </row>
    <row r="256">
      <c r="B256" s="4" t="inlineStr">
        <is>
          <t>Model</t>
        </is>
      </c>
      <c r="C256" s="8" t="inlineStr">
        <is>
          <t>ec_other_share</t>
        </is>
      </c>
      <c r="D256" s="4" t="inlineStr">
        <is>
          <t>이커머스 기타 점유율</t>
        </is>
      </c>
      <c r="E256" s="4" t="inlineStr">
        <is>
          <t>2023</t>
        </is>
      </c>
      <c r="F256" s="8" t="inlineStr">
        <is>
          <t>I41</t>
        </is>
      </c>
      <c r="G256" s="4">
        <f>'Assumptions'!I24</f>
        <v/>
      </c>
      <c r="H256" s="4" t="inlineStr">
        <is>
          <t>input link</t>
        </is>
      </c>
    </row>
    <row r="257">
      <c r="B257" s="4" t="inlineStr">
        <is>
          <t>Model</t>
        </is>
      </c>
      <c r="C257" s="8" t="inlineStr">
        <is>
          <t>ec_other_share</t>
        </is>
      </c>
      <c r="D257" s="4" t="inlineStr">
        <is>
          <t>이커머스 기타 점유율</t>
        </is>
      </c>
      <c r="E257" s="4" t="inlineStr">
        <is>
          <t>2024</t>
        </is>
      </c>
      <c r="F257" s="8" t="inlineStr">
        <is>
          <t>J41</t>
        </is>
      </c>
      <c r="G257" s="4">
        <f>'Assumptions'!J24</f>
        <v/>
      </c>
      <c r="H257" s="4" t="inlineStr">
        <is>
          <t>input link</t>
        </is>
      </c>
    </row>
    <row r="258">
      <c r="B258" s="4" t="inlineStr">
        <is>
          <t>Model</t>
        </is>
      </c>
      <c r="C258" s="8" t="inlineStr">
        <is>
          <t>ec_other_share</t>
        </is>
      </c>
      <c r="D258" s="4" t="inlineStr">
        <is>
          <t>이커머스 기타 점유율</t>
        </is>
      </c>
      <c r="E258" s="4" t="inlineStr">
        <is>
          <t>2025</t>
        </is>
      </c>
      <c r="F258" s="8" t="inlineStr">
        <is>
          <t>K41</t>
        </is>
      </c>
      <c r="G258" s="4">
        <f>'Assumptions'!K24</f>
        <v/>
      </c>
      <c r="H258" s="4" t="inlineStr">
        <is>
          <t>input link</t>
        </is>
      </c>
    </row>
    <row r="259">
      <c r="B259" s="4" t="inlineStr">
        <is>
          <t>Model</t>
        </is>
      </c>
      <c r="C259" s="8" t="inlineStr">
        <is>
          <t>ec_other_share</t>
        </is>
      </c>
      <c r="D259" s="4" t="inlineStr">
        <is>
          <t>이커머스 기타 점유율</t>
        </is>
      </c>
      <c r="E259" s="4" t="inlineStr">
        <is>
          <t>2026</t>
        </is>
      </c>
      <c r="F259" s="8" t="inlineStr">
        <is>
          <t>L41</t>
        </is>
      </c>
      <c r="G259" s="4">
        <f>'Assumptions'!L24</f>
        <v/>
      </c>
      <c r="H259" s="4" t="inlineStr">
        <is>
          <t>input link</t>
        </is>
      </c>
    </row>
    <row r="260">
      <c r="B260" s="4" t="inlineStr">
        <is>
          <t>Model</t>
        </is>
      </c>
      <c r="C260" s="8" t="inlineStr">
        <is>
          <t>ec_other_share</t>
        </is>
      </c>
      <c r="D260" s="4" t="inlineStr">
        <is>
          <t>이커머스 기타 점유율</t>
        </is>
      </c>
      <c r="E260" s="4" t="inlineStr">
        <is>
          <t>2027</t>
        </is>
      </c>
      <c r="F260" s="8" t="inlineStr">
        <is>
          <t>M41</t>
        </is>
      </c>
      <c r="G260" s="4">
        <f>'Assumptions'!M24</f>
        <v/>
      </c>
      <c r="H260" s="4" t="inlineStr">
        <is>
          <t>input link</t>
        </is>
      </c>
    </row>
    <row r="261">
      <c r="B261" s="4" t="inlineStr">
        <is>
          <t>Model</t>
        </is>
      </c>
      <c r="C261" s="8" t="inlineStr">
        <is>
          <t>ec_other_share</t>
        </is>
      </c>
      <c r="D261" s="4" t="inlineStr">
        <is>
          <t>이커머스 기타 점유율</t>
        </is>
      </c>
      <c r="E261" s="4" t="inlineStr">
        <is>
          <t>2028</t>
        </is>
      </c>
      <c r="F261" s="8" t="inlineStr">
        <is>
          <t>N41</t>
        </is>
      </c>
      <c r="G261" s="4">
        <f>'Assumptions'!N24</f>
        <v/>
      </c>
      <c r="H261" s="4" t="inlineStr">
        <is>
          <t>input link</t>
        </is>
      </c>
    </row>
    <row r="262">
      <c r="B262" s="4" t="inlineStr">
        <is>
          <t>Model</t>
        </is>
      </c>
      <c r="C262" s="8" t="inlineStr">
        <is>
          <t>ec_other_share</t>
        </is>
      </c>
      <c r="D262" s="4" t="inlineStr">
        <is>
          <t>이커머스 기타 점유율</t>
        </is>
      </c>
      <c r="E262" s="4" t="inlineStr">
        <is>
          <t>2029</t>
        </is>
      </c>
      <c r="F262" s="8" t="inlineStr">
        <is>
          <t>O41</t>
        </is>
      </c>
      <c r="G262" s="4">
        <f>'Assumptions'!O24</f>
        <v/>
      </c>
      <c r="H262" s="4" t="inlineStr">
        <is>
          <t>input link</t>
        </is>
      </c>
    </row>
    <row r="263">
      <c r="B263" s="4" t="inlineStr">
        <is>
          <t>Model</t>
        </is>
      </c>
      <c r="C263" s="8" t="inlineStr">
        <is>
          <t>ec_other_volume</t>
        </is>
      </c>
      <c r="D263" s="4" t="inlineStr">
        <is>
          <t>이커머스 기타 판매대수</t>
        </is>
      </c>
      <c r="E263" s="4" t="inlineStr">
        <is>
          <t>2023</t>
        </is>
      </c>
      <c r="F263" s="8" t="inlineStr">
        <is>
          <t>I42</t>
        </is>
      </c>
      <c r="G263" s="4">
        <f>(I40*I41)</f>
        <v/>
      </c>
      <c r="H263" s="4" t="inlineStr">
        <is>
          <t>calculation</t>
        </is>
      </c>
    </row>
    <row r="264">
      <c r="B264" s="4" t="inlineStr">
        <is>
          <t>Model</t>
        </is>
      </c>
      <c r="C264" s="8" t="inlineStr">
        <is>
          <t>ec_other_volume</t>
        </is>
      </c>
      <c r="D264" s="4" t="inlineStr">
        <is>
          <t>이커머스 기타 판매대수</t>
        </is>
      </c>
      <c r="E264" s="4" t="inlineStr">
        <is>
          <t>2024</t>
        </is>
      </c>
      <c r="F264" s="8" t="inlineStr">
        <is>
          <t>J42</t>
        </is>
      </c>
      <c r="G264" s="4">
        <f>(J40*J41)</f>
        <v/>
      </c>
      <c r="H264" s="4" t="inlineStr">
        <is>
          <t>calculation</t>
        </is>
      </c>
    </row>
    <row r="265">
      <c r="B265" s="4" t="inlineStr">
        <is>
          <t>Model</t>
        </is>
      </c>
      <c r="C265" s="8" t="inlineStr">
        <is>
          <t>ec_other_volume</t>
        </is>
      </c>
      <c r="D265" s="4" t="inlineStr">
        <is>
          <t>이커머스 기타 판매대수</t>
        </is>
      </c>
      <c r="E265" s="4" t="inlineStr">
        <is>
          <t>2025</t>
        </is>
      </c>
      <c r="F265" s="8" t="inlineStr">
        <is>
          <t>K42</t>
        </is>
      </c>
      <c r="G265" s="4">
        <f>(K40*K41)</f>
        <v/>
      </c>
      <c r="H265" s="4" t="inlineStr">
        <is>
          <t>calculation</t>
        </is>
      </c>
    </row>
    <row r="266">
      <c r="B266" s="4" t="inlineStr">
        <is>
          <t>Model</t>
        </is>
      </c>
      <c r="C266" s="8" t="inlineStr">
        <is>
          <t>ec_other_volume</t>
        </is>
      </c>
      <c r="D266" s="4" t="inlineStr">
        <is>
          <t>이커머스 기타 판매대수</t>
        </is>
      </c>
      <c r="E266" s="4" t="inlineStr">
        <is>
          <t>2026</t>
        </is>
      </c>
      <c r="F266" s="8" t="inlineStr">
        <is>
          <t>L42</t>
        </is>
      </c>
      <c r="G266" s="4">
        <f>(L40*L41)</f>
        <v/>
      </c>
      <c r="H266" s="4" t="inlineStr">
        <is>
          <t>calculation</t>
        </is>
      </c>
    </row>
    <row r="267">
      <c r="B267" s="4" t="inlineStr">
        <is>
          <t>Model</t>
        </is>
      </c>
      <c r="C267" s="8" t="inlineStr">
        <is>
          <t>ec_other_volume</t>
        </is>
      </c>
      <c r="D267" s="4" t="inlineStr">
        <is>
          <t>이커머스 기타 판매대수</t>
        </is>
      </c>
      <c r="E267" s="4" t="inlineStr">
        <is>
          <t>2027</t>
        </is>
      </c>
      <c r="F267" s="8" t="inlineStr">
        <is>
          <t>M42</t>
        </is>
      </c>
      <c r="G267" s="4">
        <f>(M40*M41)</f>
        <v/>
      </c>
      <c r="H267" s="4" t="inlineStr">
        <is>
          <t>calculation</t>
        </is>
      </c>
    </row>
    <row r="268">
      <c r="B268" s="4" t="inlineStr">
        <is>
          <t>Model</t>
        </is>
      </c>
      <c r="C268" s="8" t="inlineStr">
        <is>
          <t>ec_other_volume</t>
        </is>
      </c>
      <c r="D268" s="4" t="inlineStr">
        <is>
          <t>이커머스 기타 판매대수</t>
        </is>
      </c>
      <c r="E268" s="4" t="inlineStr">
        <is>
          <t>2028</t>
        </is>
      </c>
      <c r="F268" s="8" t="inlineStr">
        <is>
          <t>N42</t>
        </is>
      </c>
      <c r="G268" s="4">
        <f>(N40*N41)</f>
        <v/>
      </c>
      <c r="H268" s="4" t="inlineStr">
        <is>
          <t>calculation</t>
        </is>
      </c>
    </row>
    <row r="269">
      <c r="B269" s="4" t="inlineStr">
        <is>
          <t>Model</t>
        </is>
      </c>
      <c r="C269" s="8" t="inlineStr">
        <is>
          <t>ec_other_volume</t>
        </is>
      </c>
      <c r="D269" s="4" t="inlineStr">
        <is>
          <t>이커머스 기타 판매대수</t>
        </is>
      </c>
      <c r="E269" s="4" t="inlineStr">
        <is>
          <t>2029</t>
        </is>
      </c>
      <c r="F269" s="8" t="inlineStr">
        <is>
          <t>O42</t>
        </is>
      </c>
      <c r="G269" s="4">
        <f>(O40*O41)</f>
        <v/>
      </c>
      <c r="H269" s="4" t="inlineStr">
        <is>
          <t>calculation</t>
        </is>
      </c>
    </row>
    <row r="270">
      <c r="B270" s="4" t="inlineStr">
        <is>
          <t>Model</t>
        </is>
      </c>
      <c r="C270" s="8" t="inlineStr">
        <is>
          <t>ec_other_asp</t>
        </is>
      </c>
      <c r="D270" s="4" t="inlineStr">
        <is>
          <t>이커머스 기타 ASP</t>
        </is>
      </c>
      <c r="E270" s="4" t="inlineStr">
        <is>
          <t>2023</t>
        </is>
      </c>
      <c r="F270" s="8" t="inlineStr">
        <is>
          <t>I43</t>
        </is>
      </c>
      <c r="G270" s="4">
        <f>'Assumptions'!I25</f>
        <v/>
      </c>
      <c r="H270" s="4" t="inlineStr">
        <is>
          <t>input link</t>
        </is>
      </c>
    </row>
    <row r="271">
      <c r="B271" s="4" t="inlineStr">
        <is>
          <t>Model</t>
        </is>
      </c>
      <c r="C271" s="8" t="inlineStr">
        <is>
          <t>ec_other_asp</t>
        </is>
      </c>
      <c r="D271" s="4" t="inlineStr">
        <is>
          <t>이커머스 기타 ASP</t>
        </is>
      </c>
      <c r="E271" s="4" t="inlineStr">
        <is>
          <t>2024</t>
        </is>
      </c>
      <c r="F271" s="8" t="inlineStr">
        <is>
          <t>J43</t>
        </is>
      </c>
      <c r="G271" s="4">
        <f>'Assumptions'!J25</f>
        <v/>
      </c>
      <c r="H271" s="4" t="inlineStr">
        <is>
          <t>input link</t>
        </is>
      </c>
    </row>
    <row r="272">
      <c r="B272" s="4" t="inlineStr">
        <is>
          <t>Model</t>
        </is>
      </c>
      <c r="C272" s="8" t="inlineStr">
        <is>
          <t>ec_other_asp</t>
        </is>
      </c>
      <c r="D272" s="4" t="inlineStr">
        <is>
          <t>이커머스 기타 ASP</t>
        </is>
      </c>
      <c r="E272" s="4" t="inlineStr">
        <is>
          <t>2025</t>
        </is>
      </c>
      <c r="F272" s="8" t="inlineStr">
        <is>
          <t>K43</t>
        </is>
      </c>
      <c r="G272" s="4">
        <f>'Assumptions'!K25</f>
        <v/>
      </c>
      <c r="H272" s="4" t="inlineStr">
        <is>
          <t>input link</t>
        </is>
      </c>
    </row>
    <row r="273">
      <c r="B273" s="4" t="inlineStr">
        <is>
          <t>Model</t>
        </is>
      </c>
      <c r="C273" s="8" t="inlineStr">
        <is>
          <t>ec_other_asp</t>
        </is>
      </c>
      <c r="D273" s="4" t="inlineStr">
        <is>
          <t>이커머스 기타 ASP</t>
        </is>
      </c>
      <c r="E273" s="4" t="inlineStr">
        <is>
          <t>2026</t>
        </is>
      </c>
      <c r="F273" s="8" t="inlineStr">
        <is>
          <t>L43</t>
        </is>
      </c>
      <c r="G273" s="4">
        <f>'Assumptions'!L25</f>
        <v/>
      </c>
      <c r="H273" s="4" t="inlineStr">
        <is>
          <t>input link</t>
        </is>
      </c>
    </row>
    <row r="274">
      <c r="B274" s="4" t="inlineStr">
        <is>
          <t>Model</t>
        </is>
      </c>
      <c r="C274" s="8" t="inlineStr">
        <is>
          <t>ec_other_asp</t>
        </is>
      </c>
      <c r="D274" s="4" t="inlineStr">
        <is>
          <t>이커머스 기타 ASP</t>
        </is>
      </c>
      <c r="E274" s="4" t="inlineStr">
        <is>
          <t>2027</t>
        </is>
      </c>
      <c r="F274" s="8" t="inlineStr">
        <is>
          <t>M43</t>
        </is>
      </c>
      <c r="G274" s="4">
        <f>'Assumptions'!M25</f>
        <v/>
      </c>
      <c r="H274" s="4" t="inlineStr">
        <is>
          <t>input link</t>
        </is>
      </c>
    </row>
    <row r="275">
      <c r="B275" s="4" t="inlineStr">
        <is>
          <t>Model</t>
        </is>
      </c>
      <c r="C275" s="8" t="inlineStr">
        <is>
          <t>ec_other_asp</t>
        </is>
      </c>
      <c r="D275" s="4" t="inlineStr">
        <is>
          <t>이커머스 기타 ASP</t>
        </is>
      </c>
      <c r="E275" s="4" t="inlineStr">
        <is>
          <t>2028</t>
        </is>
      </c>
      <c r="F275" s="8" t="inlineStr">
        <is>
          <t>N43</t>
        </is>
      </c>
      <c r="G275" s="4">
        <f>'Assumptions'!N25</f>
        <v/>
      </c>
      <c r="H275" s="4" t="inlineStr">
        <is>
          <t>input link</t>
        </is>
      </c>
    </row>
    <row r="276">
      <c r="B276" s="4" t="inlineStr">
        <is>
          <t>Model</t>
        </is>
      </c>
      <c r="C276" s="8" t="inlineStr">
        <is>
          <t>ec_other_asp</t>
        </is>
      </c>
      <c r="D276" s="4" t="inlineStr">
        <is>
          <t>이커머스 기타 ASP</t>
        </is>
      </c>
      <c r="E276" s="4" t="inlineStr">
        <is>
          <t>2029</t>
        </is>
      </c>
      <c r="F276" s="8" t="inlineStr">
        <is>
          <t>O43</t>
        </is>
      </c>
      <c r="G276" s="4">
        <f>'Assumptions'!O25</f>
        <v/>
      </c>
      <c r="H276" s="4" t="inlineStr">
        <is>
          <t>input link</t>
        </is>
      </c>
    </row>
    <row r="277">
      <c r="B277" s="4" t="inlineStr">
        <is>
          <t>Model</t>
        </is>
      </c>
      <c r="C277" s="8" t="inlineStr">
        <is>
          <t>branch_sales</t>
        </is>
      </c>
      <c r="D277" s="4" t="inlineStr">
        <is>
          <t>지점내방 중고차 판매</t>
        </is>
      </c>
      <c r="E277" s="4" t="inlineStr">
        <is>
          <t>2023</t>
        </is>
      </c>
      <c r="F277" s="8" t="inlineStr">
        <is>
          <t>I44</t>
        </is>
      </c>
      <c r="G277" s="4">
        <f>SUM(I45,I49,I53,I57,I61,I65,I69)</f>
        <v/>
      </c>
      <c r="H277" s="4" t="inlineStr">
        <is>
          <t>calculation</t>
        </is>
      </c>
    </row>
    <row r="278">
      <c r="B278" s="4" t="inlineStr">
        <is>
          <t>Model</t>
        </is>
      </c>
      <c r="C278" s="8" t="inlineStr">
        <is>
          <t>branch_sales</t>
        </is>
      </c>
      <c r="D278" s="4" t="inlineStr">
        <is>
          <t>지점내방 중고차 판매</t>
        </is>
      </c>
      <c r="E278" s="4" t="inlineStr">
        <is>
          <t>2024</t>
        </is>
      </c>
      <c r="F278" s="8" t="inlineStr">
        <is>
          <t>J44</t>
        </is>
      </c>
      <c r="G278" s="4">
        <f>SUM(J45,J49,J53,J57,J61,J65,J69)</f>
        <v/>
      </c>
      <c r="H278" s="4" t="inlineStr">
        <is>
          <t>calculation</t>
        </is>
      </c>
    </row>
    <row r="279">
      <c r="B279" s="4" t="inlineStr">
        <is>
          <t>Model</t>
        </is>
      </c>
      <c r="C279" s="8" t="inlineStr">
        <is>
          <t>branch_sales</t>
        </is>
      </c>
      <c r="D279" s="4" t="inlineStr">
        <is>
          <t>지점내방 중고차 판매</t>
        </is>
      </c>
      <c r="E279" s="4" t="inlineStr">
        <is>
          <t>2025</t>
        </is>
      </c>
      <c r="F279" s="8" t="inlineStr">
        <is>
          <t>K44</t>
        </is>
      </c>
      <c r="G279" s="4">
        <f>SUM(K45,K49,K53,K57,K61,K65,K69)</f>
        <v/>
      </c>
      <c r="H279" s="4" t="inlineStr">
        <is>
          <t>calculation</t>
        </is>
      </c>
    </row>
    <row r="280">
      <c r="B280" s="4" t="inlineStr">
        <is>
          <t>Model</t>
        </is>
      </c>
      <c r="C280" s="8" t="inlineStr">
        <is>
          <t>branch_sales</t>
        </is>
      </c>
      <c r="D280" s="4" t="inlineStr">
        <is>
          <t>지점내방 중고차 판매</t>
        </is>
      </c>
      <c r="E280" s="4" t="inlineStr">
        <is>
          <t>2026</t>
        </is>
      </c>
      <c r="F280" s="8" t="inlineStr">
        <is>
          <t>L44</t>
        </is>
      </c>
      <c r="G280" s="4">
        <f>SUM(L45,L49,L53,L57,L61,L65,L69)</f>
        <v/>
      </c>
      <c r="H280" s="4" t="inlineStr">
        <is>
          <t>calculation</t>
        </is>
      </c>
    </row>
    <row r="281">
      <c r="B281" s="4" t="inlineStr">
        <is>
          <t>Model</t>
        </is>
      </c>
      <c r="C281" s="8" t="inlineStr">
        <is>
          <t>branch_sales</t>
        </is>
      </c>
      <c r="D281" s="4" t="inlineStr">
        <is>
          <t>지점내방 중고차 판매</t>
        </is>
      </c>
      <c r="E281" s="4" t="inlineStr">
        <is>
          <t>2027</t>
        </is>
      </c>
      <c r="F281" s="8" t="inlineStr">
        <is>
          <t>M44</t>
        </is>
      </c>
      <c r="G281" s="4">
        <f>SUM(M45,M49,M53,M57,M61,M65,M69)</f>
        <v/>
      </c>
      <c r="H281" s="4" t="inlineStr">
        <is>
          <t>calculation</t>
        </is>
      </c>
    </row>
    <row r="282">
      <c r="B282" s="4" t="inlineStr">
        <is>
          <t>Model</t>
        </is>
      </c>
      <c r="C282" s="8" t="inlineStr">
        <is>
          <t>branch_sales</t>
        </is>
      </c>
      <c r="D282" s="4" t="inlineStr">
        <is>
          <t>지점내방 중고차 판매</t>
        </is>
      </c>
      <c r="E282" s="4" t="inlineStr">
        <is>
          <t>2028</t>
        </is>
      </c>
      <c r="F282" s="8" t="inlineStr">
        <is>
          <t>N44</t>
        </is>
      </c>
      <c r="G282" s="4">
        <f>SUM(N45,N49,N53,N57,N61,N65,N69)</f>
        <v/>
      </c>
      <c r="H282" s="4" t="inlineStr">
        <is>
          <t>calculation</t>
        </is>
      </c>
    </row>
    <row r="283">
      <c r="B283" s="4" t="inlineStr">
        <is>
          <t>Model</t>
        </is>
      </c>
      <c r="C283" s="8" t="inlineStr">
        <is>
          <t>branch_sales</t>
        </is>
      </c>
      <c r="D283" s="4" t="inlineStr">
        <is>
          <t>지점내방 중고차 판매</t>
        </is>
      </c>
      <c r="E283" s="4" t="inlineStr">
        <is>
          <t>2029</t>
        </is>
      </c>
      <c r="F283" s="8" t="inlineStr">
        <is>
          <t>O44</t>
        </is>
      </c>
      <c r="G283" s="4">
        <f>SUM(O45,O49,O53,O57,O61,O65,O69)</f>
        <v/>
      </c>
      <c r="H283" s="4" t="inlineStr">
        <is>
          <t>calculation</t>
        </is>
      </c>
    </row>
    <row r="284">
      <c r="B284" s="4" t="inlineStr">
        <is>
          <t>Model</t>
        </is>
      </c>
      <c r="C284" s="8" t="inlineStr">
        <is>
          <t>br_suv_rev</t>
        </is>
      </c>
      <c r="D284" s="4" t="inlineStr">
        <is>
          <t>지점내방 SUV</t>
        </is>
      </c>
      <c r="E284" s="4" t="inlineStr">
        <is>
          <t>2023</t>
        </is>
      </c>
      <c r="F284" s="8" t="inlineStr">
        <is>
          <t>I45</t>
        </is>
      </c>
      <c r="G284" s="4">
        <f>(I47*I48)</f>
        <v/>
      </c>
      <c r="H284" s="4" t="inlineStr">
        <is>
          <t>calculation</t>
        </is>
      </c>
    </row>
    <row r="285">
      <c r="B285" s="4" t="inlineStr">
        <is>
          <t>Model</t>
        </is>
      </c>
      <c r="C285" s="8" t="inlineStr">
        <is>
          <t>br_suv_rev</t>
        </is>
      </c>
      <c r="D285" s="4" t="inlineStr">
        <is>
          <t>지점내방 SUV</t>
        </is>
      </c>
      <c r="E285" s="4" t="inlineStr">
        <is>
          <t>2024</t>
        </is>
      </c>
      <c r="F285" s="8" t="inlineStr">
        <is>
          <t>J45</t>
        </is>
      </c>
      <c r="G285" s="4">
        <f>(J47*J48)</f>
        <v/>
      </c>
      <c r="H285" s="4" t="inlineStr">
        <is>
          <t>calculation</t>
        </is>
      </c>
    </row>
    <row r="286">
      <c r="B286" s="4" t="inlineStr">
        <is>
          <t>Model</t>
        </is>
      </c>
      <c r="C286" s="8" t="inlineStr">
        <is>
          <t>br_suv_rev</t>
        </is>
      </c>
      <c r="D286" s="4" t="inlineStr">
        <is>
          <t>지점내방 SUV</t>
        </is>
      </c>
      <c r="E286" s="4" t="inlineStr">
        <is>
          <t>2025</t>
        </is>
      </c>
      <c r="F286" s="8" t="inlineStr">
        <is>
          <t>K45</t>
        </is>
      </c>
      <c r="G286" s="4">
        <f>(K47*K48)</f>
        <v/>
      </c>
      <c r="H286" s="4" t="inlineStr">
        <is>
          <t>calculation</t>
        </is>
      </c>
    </row>
    <row r="287">
      <c r="B287" s="4" t="inlineStr">
        <is>
          <t>Model</t>
        </is>
      </c>
      <c r="C287" s="8" t="inlineStr">
        <is>
          <t>br_suv_rev</t>
        </is>
      </c>
      <c r="D287" s="4" t="inlineStr">
        <is>
          <t>지점내방 SUV</t>
        </is>
      </c>
      <c r="E287" s="4" t="inlineStr">
        <is>
          <t>2026</t>
        </is>
      </c>
      <c r="F287" s="8" t="inlineStr">
        <is>
          <t>L45</t>
        </is>
      </c>
      <c r="G287" s="4">
        <f>(L47*L48)</f>
        <v/>
      </c>
      <c r="H287" s="4" t="inlineStr">
        <is>
          <t>calculation</t>
        </is>
      </c>
    </row>
    <row r="288">
      <c r="B288" s="4" t="inlineStr">
        <is>
          <t>Model</t>
        </is>
      </c>
      <c r="C288" s="8" t="inlineStr">
        <is>
          <t>br_suv_rev</t>
        </is>
      </c>
      <c r="D288" s="4" t="inlineStr">
        <is>
          <t>지점내방 SUV</t>
        </is>
      </c>
      <c r="E288" s="4" t="inlineStr">
        <is>
          <t>2027</t>
        </is>
      </c>
      <c r="F288" s="8" t="inlineStr">
        <is>
          <t>M45</t>
        </is>
      </c>
      <c r="G288" s="4">
        <f>(M47*M48)</f>
        <v/>
      </c>
      <c r="H288" s="4" t="inlineStr">
        <is>
          <t>calculation</t>
        </is>
      </c>
    </row>
    <row r="289">
      <c r="B289" s="4" t="inlineStr">
        <is>
          <t>Model</t>
        </is>
      </c>
      <c r="C289" s="8" t="inlineStr">
        <is>
          <t>br_suv_rev</t>
        </is>
      </c>
      <c r="D289" s="4" t="inlineStr">
        <is>
          <t>지점내방 SUV</t>
        </is>
      </c>
      <c r="E289" s="4" t="inlineStr">
        <is>
          <t>2028</t>
        </is>
      </c>
      <c r="F289" s="8" t="inlineStr">
        <is>
          <t>N45</t>
        </is>
      </c>
      <c r="G289" s="4">
        <f>(N47*N48)</f>
        <v/>
      </c>
      <c r="H289" s="4" t="inlineStr">
        <is>
          <t>calculation</t>
        </is>
      </c>
    </row>
    <row r="290">
      <c r="B290" s="4" t="inlineStr">
        <is>
          <t>Model</t>
        </is>
      </c>
      <c r="C290" s="8" t="inlineStr">
        <is>
          <t>br_suv_rev</t>
        </is>
      </c>
      <c r="D290" s="4" t="inlineStr">
        <is>
          <t>지점내방 SUV</t>
        </is>
      </c>
      <c r="E290" s="4" t="inlineStr">
        <is>
          <t>2029</t>
        </is>
      </c>
      <c r="F290" s="8" t="inlineStr">
        <is>
          <t>O45</t>
        </is>
      </c>
      <c r="G290" s="4">
        <f>(O47*O48)</f>
        <v/>
      </c>
      <c r="H290" s="4" t="inlineStr">
        <is>
          <t>calculation</t>
        </is>
      </c>
    </row>
    <row r="291">
      <c r="B291" s="4" t="inlineStr">
        <is>
          <t>Model</t>
        </is>
      </c>
      <c r="C291" s="8" t="inlineStr">
        <is>
          <t>br_suv_share</t>
        </is>
      </c>
      <c r="D291" s="4" t="inlineStr">
        <is>
          <t>지점내방 SUV 점유율</t>
        </is>
      </c>
      <c r="E291" s="4" t="inlineStr">
        <is>
          <t>2023</t>
        </is>
      </c>
      <c r="F291" s="8" t="inlineStr">
        <is>
          <t>I46</t>
        </is>
      </c>
      <c r="G291" s="4">
        <f>'Assumptions'!I26</f>
        <v/>
      </c>
      <c r="H291" s="4" t="inlineStr">
        <is>
          <t>input link</t>
        </is>
      </c>
    </row>
    <row r="292">
      <c r="B292" s="4" t="inlineStr">
        <is>
          <t>Model</t>
        </is>
      </c>
      <c r="C292" s="8" t="inlineStr">
        <is>
          <t>br_suv_share</t>
        </is>
      </c>
      <c r="D292" s="4" t="inlineStr">
        <is>
          <t>지점내방 SUV 점유율</t>
        </is>
      </c>
      <c r="E292" s="4" t="inlineStr">
        <is>
          <t>2024</t>
        </is>
      </c>
      <c r="F292" s="8" t="inlineStr">
        <is>
          <t>J46</t>
        </is>
      </c>
      <c r="G292" s="4">
        <f>'Assumptions'!J26</f>
        <v/>
      </c>
      <c r="H292" s="4" t="inlineStr">
        <is>
          <t>input link</t>
        </is>
      </c>
    </row>
    <row r="293">
      <c r="B293" s="4" t="inlineStr">
        <is>
          <t>Model</t>
        </is>
      </c>
      <c r="C293" s="8" t="inlineStr">
        <is>
          <t>br_suv_share</t>
        </is>
      </c>
      <c r="D293" s="4" t="inlineStr">
        <is>
          <t>지점내방 SUV 점유율</t>
        </is>
      </c>
      <c r="E293" s="4" t="inlineStr">
        <is>
          <t>2025</t>
        </is>
      </c>
      <c r="F293" s="8" t="inlineStr">
        <is>
          <t>K46</t>
        </is>
      </c>
      <c r="G293" s="4">
        <f>'Assumptions'!K26</f>
        <v/>
      </c>
      <c r="H293" s="4" t="inlineStr">
        <is>
          <t>input link</t>
        </is>
      </c>
    </row>
    <row r="294">
      <c r="B294" s="4" t="inlineStr">
        <is>
          <t>Model</t>
        </is>
      </c>
      <c r="C294" s="8" t="inlineStr">
        <is>
          <t>br_suv_share</t>
        </is>
      </c>
      <c r="D294" s="4" t="inlineStr">
        <is>
          <t>지점내방 SUV 점유율</t>
        </is>
      </c>
      <c r="E294" s="4" t="inlineStr">
        <is>
          <t>2026</t>
        </is>
      </c>
      <c r="F294" s="8" t="inlineStr">
        <is>
          <t>L46</t>
        </is>
      </c>
      <c r="G294" s="4">
        <f>'Assumptions'!L26</f>
        <v/>
      </c>
      <c r="H294" s="4" t="inlineStr">
        <is>
          <t>input link</t>
        </is>
      </c>
    </row>
    <row r="295">
      <c r="B295" s="4" t="inlineStr">
        <is>
          <t>Model</t>
        </is>
      </c>
      <c r="C295" s="8" t="inlineStr">
        <is>
          <t>br_suv_share</t>
        </is>
      </c>
      <c r="D295" s="4" t="inlineStr">
        <is>
          <t>지점내방 SUV 점유율</t>
        </is>
      </c>
      <c r="E295" s="4" t="inlineStr">
        <is>
          <t>2027</t>
        </is>
      </c>
      <c r="F295" s="8" t="inlineStr">
        <is>
          <t>M46</t>
        </is>
      </c>
      <c r="G295" s="4">
        <f>'Assumptions'!M26</f>
        <v/>
      </c>
      <c r="H295" s="4" t="inlineStr">
        <is>
          <t>input link</t>
        </is>
      </c>
    </row>
    <row r="296">
      <c r="B296" s="4" t="inlineStr">
        <is>
          <t>Model</t>
        </is>
      </c>
      <c r="C296" s="8" t="inlineStr">
        <is>
          <t>br_suv_share</t>
        </is>
      </c>
      <c r="D296" s="4" t="inlineStr">
        <is>
          <t>지점내방 SUV 점유율</t>
        </is>
      </c>
      <c r="E296" s="4" t="inlineStr">
        <is>
          <t>2028</t>
        </is>
      </c>
      <c r="F296" s="8" t="inlineStr">
        <is>
          <t>N46</t>
        </is>
      </c>
      <c r="G296" s="4">
        <f>'Assumptions'!N26</f>
        <v/>
      </c>
      <c r="H296" s="4" t="inlineStr">
        <is>
          <t>input link</t>
        </is>
      </c>
    </row>
    <row r="297">
      <c r="B297" s="4" t="inlineStr">
        <is>
          <t>Model</t>
        </is>
      </c>
      <c r="C297" s="8" t="inlineStr">
        <is>
          <t>br_suv_share</t>
        </is>
      </c>
      <c r="D297" s="4" t="inlineStr">
        <is>
          <t>지점내방 SUV 점유율</t>
        </is>
      </c>
      <c r="E297" s="4" t="inlineStr">
        <is>
          <t>2029</t>
        </is>
      </c>
      <c r="F297" s="8" t="inlineStr">
        <is>
          <t>O46</t>
        </is>
      </c>
      <c r="G297" s="4">
        <f>'Assumptions'!O26</f>
        <v/>
      </c>
      <c r="H297" s="4" t="inlineStr">
        <is>
          <t>input link</t>
        </is>
      </c>
    </row>
    <row r="298">
      <c r="B298" s="4" t="inlineStr">
        <is>
          <t>Model</t>
        </is>
      </c>
      <c r="C298" s="8" t="inlineStr">
        <is>
          <t>br_suv_volume</t>
        </is>
      </c>
      <c r="D298" s="4" t="inlineStr">
        <is>
          <t>지점내방 SUV 판매대수</t>
        </is>
      </c>
      <c r="E298" s="4" t="inlineStr">
        <is>
          <t>2023</t>
        </is>
      </c>
      <c r="F298" s="8" t="inlineStr">
        <is>
          <t>I47</t>
        </is>
      </c>
      <c r="G298" s="4">
        <f>(I10*I46)</f>
        <v/>
      </c>
      <c r="H298" s="4" t="inlineStr">
        <is>
          <t>calculation</t>
        </is>
      </c>
    </row>
    <row r="299">
      <c r="B299" s="4" t="inlineStr">
        <is>
          <t>Model</t>
        </is>
      </c>
      <c r="C299" s="8" t="inlineStr">
        <is>
          <t>br_suv_volume</t>
        </is>
      </c>
      <c r="D299" s="4" t="inlineStr">
        <is>
          <t>지점내방 SUV 판매대수</t>
        </is>
      </c>
      <c r="E299" s="4" t="inlineStr">
        <is>
          <t>2024</t>
        </is>
      </c>
      <c r="F299" s="8" t="inlineStr">
        <is>
          <t>J47</t>
        </is>
      </c>
      <c r="G299" s="4">
        <f>(J10*J46)</f>
        <v/>
      </c>
      <c r="H299" s="4" t="inlineStr">
        <is>
          <t>calculation</t>
        </is>
      </c>
    </row>
    <row r="300">
      <c r="B300" s="4" t="inlineStr">
        <is>
          <t>Model</t>
        </is>
      </c>
      <c r="C300" s="8" t="inlineStr">
        <is>
          <t>br_suv_volume</t>
        </is>
      </c>
      <c r="D300" s="4" t="inlineStr">
        <is>
          <t>지점내방 SUV 판매대수</t>
        </is>
      </c>
      <c r="E300" s="4" t="inlineStr">
        <is>
          <t>2025</t>
        </is>
      </c>
      <c r="F300" s="8" t="inlineStr">
        <is>
          <t>K47</t>
        </is>
      </c>
      <c r="G300" s="4">
        <f>(K10*K46)</f>
        <v/>
      </c>
      <c r="H300" s="4" t="inlineStr">
        <is>
          <t>calculation</t>
        </is>
      </c>
    </row>
    <row r="301">
      <c r="B301" s="4" t="inlineStr">
        <is>
          <t>Model</t>
        </is>
      </c>
      <c r="C301" s="8" t="inlineStr">
        <is>
          <t>br_suv_volume</t>
        </is>
      </c>
      <c r="D301" s="4" t="inlineStr">
        <is>
          <t>지점내방 SUV 판매대수</t>
        </is>
      </c>
      <c r="E301" s="4" t="inlineStr">
        <is>
          <t>2026</t>
        </is>
      </c>
      <c r="F301" s="8" t="inlineStr">
        <is>
          <t>L47</t>
        </is>
      </c>
      <c r="G301" s="4">
        <f>(L10*L46)</f>
        <v/>
      </c>
      <c r="H301" s="4" t="inlineStr">
        <is>
          <t>calculation</t>
        </is>
      </c>
    </row>
    <row r="302">
      <c r="B302" s="4" t="inlineStr">
        <is>
          <t>Model</t>
        </is>
      </c>
      <c r="C302" s="8" t="inlineStr">
        <is>
          <t>br_suv_volume</t>
        </is>
      </c>
      <c r="D302" s="4" t="inlineStr">
        <is>
          <t>지점내방 SUV 판매대수</t>
        </is>
      </c>
      <c r="E302" s="4" t="inlineStr">
        <is>
          <t>2027</t>
        </is>
      </c>
      <c r="F302" s="8" t="inlineStr">
        <is>
          <t>M47</t>
        </is>
      </c>
      <c r="G302" s="4">
        <f>(M10*M46)</f>
        <v/>
      </c>
      <c r="H302" s="4" t="inlineStr">
        <is>
          <t>calculation</t>
        </is>
      </c>
    </row>
    <row r="303">
      <c r="B303" s="4" t="inlineStr">
        <is>
          <t>Model</t>
        </is>
      </c>
      <c r="C303" s="8" t="inlineStr">
        <is>
          <t>br_suv_volume</t>
        </is>
      </c>
      <c r="D303" s="4" t="inlineStr">
        <is>
          <t>지점내방 SUV 판매대수</t>
        </is>
      </c>
      <c r="E303" s="4" t="inlineStr">
        <is>
          <t>2028</t>
        </is>
      </c>
      <c r="F303" s="8" t="inlineStr">
        <is>
          <t>N47</t>
        </is>
      </c>
      <c r="G303" s="4">
        <f>(N10*N46)</f>
        <v/>
      </c>
      <c r="H303" s="4" t="inlineStr">
        <is>
          <t>calculation</t>
        </is>
      </c>
    </row>
    <row r="304">
      <c r="B304" s="4" t="inlineStr">
        <is>
          <t>Model</t>
        </is>
      </c>
      <c r="C304" s="8" t="inlineStr">
        <is>
          <t>br_suv_volume</t>
        </is>
      </c>
      <c r="D304" s="4" t="inlineStr">
        <is>
          <t>지점내방 SUV 판매대수</t>
        </is>
      </c>
      <c r="E304" s="4" t="inlineStr">
        <is>
          <t>2029</t>
        </is>
      </c>
      <c r="F304" s="8" t="inlineStr">
        <is>
          <t>O47</t>
        </is>
      </c>
      <c r="G304" s="4">
        <f>(O10*O46)</f>
        <v/>
      </c>
      <c r="H304" s="4" t="inlineStr">
        <is>
          <t>calculation</t>
        </is>
      </c>
    </row>
    <row r="305">
      <c r="B305" s="4" t="inlineStr">
        <is>
          <t>Model</t>
        </is>
      </c>
      <c r="C305" s="8" t="inlineStr">
        <is>
          <t>br_suv_asp</t>
        </is>
      </c>
      <c r="D305" s="4" t="inlineStr">
        <is>
          <t>지점내방 SUV ASP</t>
        </is>
      </c>
      <c r="E305" s="4" t="inlineStr">
        <is>
          <t>2023</t>
        </is>
      </c>
      <c r="F305" s="8" t="inlineStr">
        <is>
          <t>I48</t>
        </is>
      </c>
      <c r="G305" s="4">
        <f>'Assumptions'!I27</f>
        <v/>
      </c>
      <c r="H305" s="4" t="inlineStr">
        <is>
          <t>input link</t>
        </is>
      </c>
    </row>
    <row r="306">
      <c r="B306" s="4" t="inlineStr">
        <is>
          <t>Model</t>
        </is>
      </c>
      <c r="C306" s="8" t="inlineStr">
        <is>
          <t>br_suv_asp</t>
        </is>
      </c>
      <c r="D306" s="4" t="inlineStr">
        <is>
          <t>지점내방 SUV ASP</t>
        </is>
      </c>
      <c r="E306" s="4" t="inlineStr">
        <is>
          <t>2024</t>
        </is>
      </c>
      <c r="F306" s="8" t="inlineStr">
        <is>
          <t>J48</t>
        </is>
      </c>
      <c r="G306" s="4">
        <f>'Assumptions'!J27</f>
        <v/>
      </c>
      <c r="H306" s="4" t="inlineStr">
        <is>
          <t>input link</t>
        </is>
      </c>
    </row>
    <row r="307">
      <c r="B307" s="4" t="inlineStr">
        <is>
          <t>Model</t>
        </is>
      </c>
      <c r="C307" s="8" t="inlineStr">
        <is>
          <t>br_suv_asp</t>
        </is>
      </c>
      <c r="D307" s="4" t="inlineStr">
        <is>
          <t>지점내방 SUV ASP</t>
        </is>
      </c>
      <c r="E307" s="4" t="inlineStr">
        <is>
          <t>2025</t>
        </is>
      </c>
      <c r="F307" s="8" t="inlineStr">
        <is>
          <t>K48</t>
        </is>
      </c>
      <c r="G307" s="4">
        <f>'Assumptions'!K27</f>
        <v/>
      </c>
      <c r="H307" s="4" t="inlineStr">
        <is>
          <t>input link</t>
        </is>
      </c>
    </row>
    <row r="308">
      <c r="B308" s="4" t="inlineStr">
        <is>
          <t>Model</t>
        </is>
      </c>
      <c r="C308" s="8" t="inlineStr">
        <is>
          <t>br_suv_asp</t>
        </is>
      </c>
      <c r="D308" s="4" t="inlineStr">
        <is>
          <t>지점내방 SUV ASP</t>
        </is>
      </c>
      <c r="E308" s="4" t="inlineStr">
        <is>
          <t>2026</t>
        </is>
      </c>
      <c r="F308" s="8" t="inlineStr">
        <is>
          <t>L48</t>
        </is>
      </c>
      <c r="G308" s="4">
        <f>'Assumptions'!L27</f>
        <v/>
      </c>
      <c r="H308" s="4" t="inlineStr">
        <is>
          <t>input link</t>
        </is>
      </c>
    </row>
    <row r="309">
      <c r="B309" s="4" t="inlineStr">
        <is>
          <t>Model</t>
        </is>
      </c>
      <c r="C309" s="8" t="inlineStr">
        <is>
          <t>br_suv_asp</t>
        </is>
      </c>
      <c r="D309" s="4" t="inlineStr">
        <is>
          <t>지점내방 SUV ASP</t>
        </is>
      </c>
      <c r="E309" s="4" t="inlineStr">
        <is>
          <t>2027</t>
        </is>
      </c>
      <c r="F309" s="8" t="inlineStr">
        <is>
          <t>M48</t>
        </is>
      </c>
      <c r="G309" s="4">
        <f>'Assumptions'!M27</f>
        <v/>
      </c>
      <c r="H309" s="4" t="inlineStr">
        <is>
          <t>input link</t>
        </is>
      </c>
    </row>
    <row r="310">
      <c r="B310" s="4" t="inlineStr">
        <is>
          <t>Model</t>
        </is>
      </c>
      <c r="C310" s="8" t="inlineStr">
        <is>
          <t>br_suv_asp</t>
        </is>
      </c>
      <c r="D310" s="4" t="inlineStr">
        <is>
          <t>지점내방 SUV ASP</t>
        </is>
      </c>
      <c r="E310" s="4" t="inlineStr">
        <is>
          <t>2028</t>
        </is>
      </c>
      <c r="F310" s="8" t="inlineStr">
        <is>
          <t>N48</t>
        </is>
      </c>
      <c r="G310" s="4">
        <f>'Assumptions'!N27</f>
        <v/>
      </c>
      <c r="H310" s="4" t="inlineStr">
        <is>
          <t>input link</t>
        </is>
      </c>
    </row>
    <row r="311">
      <c r="B311" s="4" t="inlineStr">
        <is>
          <t>Model</t>
        </is>
      </c>
      <c r="C311" s="8" t="inlineStr">
        <is>
          <t>br_suv_asp</t>
        </is>
      </c>
      <c r="D311" s="4" t="inlineStr">
        <is>
          <t>지점내방 SUV ASP</t>
        </is>
      </c>
      <c r="E311" s="4" t="inlineStr">
        <is>
          <t>2029</t>
        </is>
      </c>
      <c r="F311" s="8" t="inlineStr">
        <is>
          <t>O48</t>
        </is>
      </c>
      <c r="G311" s="4">
        <f>'Assumptions'!O27</f>
        <v/>
      </c>
      <c r="H311" s="4" t="inlineStr">
        <is>
          <t>input link</t>
        </is>
      </c>
    </row>
    <row r="312">
      <c r="B312" s="4" t="inlineStr">
        <is>
          <t>Model</t>
        </is>
      </c>
      <c r="C312" s="8" t="inlineStr">
        <is>
          <t>br_large_rev</t>
        </is>
      </c>
      <c r="D312" s="4" t="inlineStr">
        <is>
          <t>지점내방 대형</t>
        </is>
      </c>
      <c r="E312" s="4" t="inlineStr">
        <is>
          <t>2023</t>
        </is>
      </c>
      <c r="F312" s="8" t="inlineStr">
        <is>
          <t>I49</t>
        </is>
      </c>
      <c r="G312" s="4">
        <f>(I51*I52)</f>
        <v/>
      </c>
      <c r="H312" s="4" t="inlineStr">
        <is>
          <t>calculation</t>
        </is>
      </c>
    </row>
    <row r="313">
      <c r="B313" s="4" t="inlineStr">
        <is>
          <t>Model</t>
        </is>
      </c>
      <c r="C313" s="8" t="inlineStr">
        <is>
          <t>br_large_rev</t>
        </is>
      </c>
      <c r="D313" s="4" t="inlineStr">
        <is>
          <t>지점내방 대형</t>
        </is>
      </c>
      <c r="E313" s="4" t="inlineStr">
        <is>
          <t>2024</t>
        </is>
      </c>
      <c r="F313" s="8" t="inlineStr">
        <is>
          <t>J49</t>
        </is>
      </c>
      <c r="G313" s="4">
        <f>(J51*J52)</f>
        <v/>
      </c>
      <c r="H313" s="4" t="inlineStr">
        <is>
          <t>calculation</t>
        </is>
      </c>
    </row>
    <row r="314">
      <c r="B314" s="4" t="inlineStr">
        <is>
          <t>Model</t>
        </is>
      </c>
      <c r="C314" s="8" t="inlineStr">
        <is>
          <t>br_large_rev</t>
        </is>
      </c>
      <c r="D314" s="4" t="inlineStr">
        <is>
          <t>지점내방 대형</t>
        </is>
      </c>
      <c r="E314" s="4" t="inlineStr">
        <is>
          <t>2025</t>
        </is>
      </c>
      <c r="F314" s="8" t="inlineStr">
        <is>
          <t>K49</t>
        </is>
      </c>
      <c r="G314" s="4">
        <f>(K51*K52)</f>
        <v/>
      </c>
      <c r="H314" s="4" t="inlineStr">
        <is>
          <t>calculation</t>
        </is>
      </c>
    </row>
    <row r="315">
      <c r="B315" s="4" t="inlineStr">
        <is>
          <t>Model</t>
        </is>
      </c>
      <c r="C315" s="8" t="inlineStr">
        <is>
          <t>br_large_rev</t>
        </is>
      </c>
      <c r="D315" s="4" t="inlineStr">
        <is>
          <t>지점내방 대형</t>
        </is>
      </c>
      <c r="E315" s="4" t="inlineStr">
        <is>
          <t>2026</t>
        </is>
      </c>
      <c r="F315" s="8" t="inlineStr">
        <is>
          <t>L49</t>
        </is>
      </c>
      <c r="G315" s="4">
        <f>(L51*L52)</f>
        <v/>
      </c>
      <c r="H315" s="4" t="inlineStr">
        <is>
          <t>calculation</t>
        </is>
      </c>
    </row>
    <row r="316">
      <c r="B316" s="4" t="inlineStr">
        <is>
          <t>Model</t>
        </is>
      </c>
      <c r="C316" s="8" t="inlineStr">
        <is>
          <t>br_large_rev</t>
        </is>
      </c>
      <c r="D316" s="4" t="inlineStr">
        <is>
          <t>지점내방 대형</t>
        </is>
      </c>
      <c r="E316" s="4" t="inlineStr">
        <is>
          <t>2027</t>
        </is>
      </c>
      <c r="F316" s="8" t="inlineStr">
        <is>
          <t>M49</t>
        </is>
      </c>
      <c r="G316" s="4">
        <f>(M51*M52)</f>
        <v/>
      </c>
      <c r="H316" s="4" t="inlineStr">
        <is>
          <t>calculation</t>
        </is>
      </c>
    </row>
    <row r="317">
      <c r="B317" s="4" t="inlineStr">
        <is>
          <t>Model</t>
        </is>
      </c>
      <c r="C317" s="8" t="inlineStr">
        <is>
          <t>br_large_rev</t>
        </is>
      </c>
      <c r="D317" s="4" t="inlineStr">
        <is>
          <t>지점내방 대형</t>
        </is>
      </c>
      <c r="E317" s="4" t="inlineStr">
        <is>
          <t>2028</t>
        </is>
      </c>
      <c r="F317" s="8" t="inlineStr">
        <is>
          <t>N49</t>
        </is>
      </c>
      <c r="G317" s="4">
        <f>(N51*N52)</f>
        <v/>
      </c>
      <c r="H317" s="4" t="inlineStr">
        <is>
          <t>calculation</t>
        </is>
      </c>
    </row>
    <row r="318">
      <c r="B318" s="4" t="inlineStr">
        <is>
          <t>Model</t>
        </is>
      </c>
      <c r="C318" s="8" t="inlineStr">
        <is>
          <t>br_large_rev</t>
        </is>
      </c>
      <c r="D318" s="4" t="inlineStr">
        <is>
          <t>지점내방 대형</t>
        </is>
      </c>
      <c r="E318" s="4" t="inlineStr">
        <is>
          <t>2029</t>
        </is>
      </c>
      <c r="F318" s="8" t="inlineStr">
        <is>
          <t>O49</t>
        </is>
      </c>
      <c r="G318" s="4">
        <f>(O51*O52)</f>
        <v/>
      </c>
      <c r="H318" s="4" t="inlineStr">
        <is>
          <t>calculation</t>
        </is>
      </c>
    </row>
    <row r="319">
      <c r="B319" s="4" t="inlineStr">
        <is>
          <t>Model</t>
        </is>
      </c>
      <c r="C319" s="8" t="inlineStr">
        <is>
          <t>br_large_share</t>
        </is>
      </c>
      <c r="D319" s="4" t="inlineStr">
        <is>
          <t>지점내방 대형 점유율</t>
        </is>
      </c>
      <c r="E319" s="4" t="inlineStr">
        <is>
          <t>2023</t>
        </is>
      </c>
      <c r="F319" s="8" t="inlineStr">
        <is>
          <t>I50</t>
        </is>
      </c>
      <c r="G319" s="4">
        <f>'Assumptions'!I28</f>
        <v/>
      </c>
      <c r="H319" s="4" t="inlineStr">
        <is>
          <t>input link</t>
        </is>
      </c>
    </row>
    <row r="320">
      <c r="B320" s="4" t="inlineStr">
        <is>
          <t>Model</t>
        </is>
      </c>
      <c r="C320" s="8" t="inlineStr">
        <is>
          <t>br_large_share</t>
        </is>
      </c>
      <c r="D320" s="4" t="inlineStr">
        <is>
          <t>지점내방 대형 점유율</t>
        </is>
      </c>
      <c r="E320" s="4" t="inlineStr">
        <is>
          <t>2024</t>
        </is>
      </c>
      <c r="F320" s="8" t="inlineStr">
        <is>
          <t>J50</t>
        </is>
      </c>
      <c r="G320" s="4">
        <f>'Assumptions'!J28</f>
        <v/>
      </c>
      <c r="H320" s="4" t="inlineStr">
        <is>
          <t>input link</t>
        </is>
      </c>
    </row>
    <row r="321">
      <c r="B321" s="4" t="inlineStr">
        <is>
          <t>Model</t>
        </is>
      </c>
      <c r="C321" s="8" t="inlineStr">
        <is>
          <t>br_large_share</t>
        </is>
      </c>
      <c r="D321" s="4" t="inlineStr">
        <is>
          <t>지점내방 대형 점유율</t>
        </is>
      </c>
      <c r="E321" s="4" t="inlineStr">
        <is>
          <t>2025</t>
        </is>
      </c>
      <c r="F321" s="8" t="inlineStr">
        <is>
          <t>K50</t>
        </is>
      </c>
      <c r="G321" s="4">
        <f>'Assumptions'!K28</f>
        <v/>
      </c>
      <c r="H321" s="4" t="inlineStr">
        <is>
          <t>input link</t>
        </is>
      </c>
    </row>
    <row r="322">
      <c r="B322" s="4" t="inlineStr">
        <is>
          <t>Model</t>
        </is>
      </c>
      <c r="C322" s="8" t="inlineStr">
        <is>
          <t>br_large_share</t>
        </is>
      </c>
      <c r="D322" s="4" t="inlineStr">
        <is>
          <t>지점내방 대형 점유율</t>
        </is>
      </c>
      <c r="E322" s="4" t="inlineStr">
        <is>
          <t>2026</t>
        </is>
      </c>
      <c r="F322" s="8" t="inlineStr">
        <is>
          <t>L50</t>
        </is>
      </c>
      <c r="G322" s="4">
        <f>'Assumptions'!L28</f>
        <v/>
      </c>
      <c r="H322" s="4" t="inlineStr">
        <is>
          <t>input link</t>
        </is>
      </c>
    </row>
    <row r="323">
      <c r="B323" s="4" t="inlineStr">
        <is>
          <t>Model</t>
        </is>
      </c>
      <c r="C323" s="8" t="inlineStr">
        <is>
          <t>br_large_share</t>
        </is>
      </c>
      <c r="D323" s="4" t="inlineStr">
        <is>
          <t>지점내방 대형 점유율</t>
        </is>
      </c>
      <c r="E323" s="4" t="inlineStr">
        <is>
          <t>2027</t>
        </is>
      </c>
      <c r="F323" s="8" t="inlineStr">
        <is>
          <t>M50</t>
        </is>
      </c>
      <c r="G323" s="4">
        <f>'Assumptions'!M28</f>
        <v/>
      </c>
      <c r="H323" s="4" t="inlineStr">
        <is>
          <t>input link</t>
        </is>
      </c>
    </row>
    <row r="324">
      <c r="B324" s="4" t="inlineStr">
        <is>
          <t>Model</t>
        </is>
      </c>
      <c r="C324" s="8" t="inlineStr">
        <is>
          <t>br_large_share</t>
        </is>
      </c>
      <c r="D324" s="4" t="inlineStr">
        <is>
          <t>지점내방 대형 점유율</t>
        </is>
      </c>
      <c r="E324" s="4" t="inlineStr">
        <is>
          <t>2028</t>
        </is>
      </c>
      <c r="F324" s="8" t="inlineStr">
        <is>
          <t>N50</t>
        </is>
      </c>
      <c r="G324" s="4">
        <f>'Assumptions'!N28</f>
        <v/>
      </c>
      <c r="H324" s="4" t="inlineStr">
        <is>
          <t>input link</t>
        </is>
      </c>
    </row>
    <row r="325">
      <c r="B325" s="4" t="inlineStr">
        <is>
          <t>Model</t>
        </is>
      </c>
      <c r="C325" s="8" t="inlineStr">
        <is>
          <t>br_large_share</t>
        </is>
      </c>
      <c r="D325" s="4" t="inlineStr">
        <is>
          <t>지점내방 대형 점유율</t>
        </is>
      </c>
      <c r="E325" s="4" t="inlineStr">
        <is>
          <t>2029</t>
        </is>
      </c>
      <c r="F325" s="8" t="inlineStr">
        <is>
          <t>O50</t>
        </is>
      </c>
      <c r="G325" s="4">
        <f>'Assumptions'!O28</f>
        <v/>
      </c>
      <c r="H325" s="4" t="inlineStr">
        <is>
          <t>input link</t>
        </is>
      </c>
    </row>
    <row r="326">
      <c r="B326" s="4" t="inlineStr">
        <is>
          <t>Model</t>
        </is>
      </c>
      <c r="C326" s="8" t="inlineStr">
        <is>
          <t>br_large_volume</t>
        </is>
      </c>
      <c r="D326" s="4" t="inlineStr">
        <is>
          <t>지점내방 대형 판매대수</t>
        </is>
      </c>
      <c r="E326" s="4" t="inlineStr">
        <is>
          <t>2023</t>
        </is>
      </c>
      <c r="F326" s="8" t="inlineStr">
        <is>
          <t>I51</t>
        </is>
      </c>
      <c r="G326" s="4">
        <f>(I15*I50)</f>
        <v/>
      </c>
      <c r="H326" s="4" t="inlineStr">
        <is>
          <t>calculation</t>
        </is>
      </c>
    </row>
    <row r="327">
      <c r="B327" s="4" t="inlineStr">
        <is>
          <t>Model</t>
        </is>
      </c>
      <c r="C327" s="8" t="inlineStr">
        <is>
          <t>br_large_volume</t>
        </is>
      </c>
      <c r="D327" s="4" t="inlineStr">
        <is>
          <t>지점내방 대형 판매대수</t>
        </is>
      </c>
      <c r="E327" s="4" t="inlineStr">
        <is>
          <t>2024</t>
        </is>
      </c>
      <c r="F327" s="8" t="inlineStr">
        <is>
          <t>J51</t>
        </is>
      </c>
      <c r="G327" s="4">
        <f>(J15*J50)</f>
        <v/>
      </c>
      <c r="H327" s="4" t="inlineStr">
        <is>
          <t>calculation</t>
        </is>
      </c>
    </row>
    <row r="328">
      <c r="B328" s="4" t="inlineStr">
        <is>
          <t>Model</t>
        </is>
      </c>
      <c r="C328" s="8" t="inlineStr">
        <is>
          <t>br_large_volume</t>
        </is>
      </c>
      <c r="D328" s="4" t="inlineStr">
        <is>
          <t>지점내방 대형 판매대수</t>
        </is>
      </c>
      <c r="E328" s="4" t="inlineStr">
        <is>
          <t>2025</t>
        </is>
      </c>
      <c r="F328" s="8" t="inlineStr">
        <is>
          <t>K51</t>
        </is>
      </c>
      <c r="G328" s="4">
        <f>(K15*K50)</f>
        <v/>
      </c>
      <c r="H328" s="4" t="inlineStr">
        <is>
          <t>calculation</t>
        </is>
      </c>
    </row>
    <row r="329">
      <c r="B329" s="4" t="inlineStr">
        <is>
          <t>Model</t>
        </is>
      </c>
      <c r="C329" s="8" t="inlineStr">
        <is>
          <t>br_large_volume</t>
        </is>
      </c>
      <c r="D329" s="4" t="inlineStr">
        <is>
          <t>지점내방 대형 판매대수</t>
        </is>
      </c>
      <c r="E329" s="4" t="inlineStr">
        <is>
          <t>2026</t>
        </is>
      </c>
      <c r="F329" s="8" t="inlineStr">
        <is>
          <t>L51</t>
        </is>
      </c>
      <c r="G329" s="4">
        <f>(L15*L50)</f>
        <v/>
      </c>
      <c r="H329" s="4" t="inlineStr">
        <is>
          <t>calculation</t>
        </is>
      </c>
    </row>
    <row r="330">
      <c r="B330" s="4" t="inlineStr">
        <is>
          <t>Model</t>
        </is>
      </c>
      <c r="C330" s="8" t="inlineStr">
        <is>
          <t>br_large_volume</t>
        </is>
      </c>
      <c r="D330" s="4" t="inlineStr">
        <is>
          <t>지점내방 대형 판매대수</t>
        </is>
      </c>
      <c r="E330" s="4" t="inlineStr">
        <is>
          <t>2027</t>
        </is>
      </c>
      <c r="F330" s="8" t="inlineStr">
        <is>
          <t>M51</t>
        </is>
      </c>
      <c r="G330" s="4">
        <f>(M15*M50)</f>
        <v/>
      </c>
      <c r="H330" s="4" t="inlineStr">
        <is>
          <t>calculation</t>
        </is>
      </c>
    </row>
    <row r="331">
      <c r="B331" s="4" t="inlineStr">
        <is>
          <t>Model</t>
        </is>
      </c>
      <c r="C331" s="8" t="inlineStr">
        <is>
          <t>br_large_volume</t>
        </is>
      </c>
      <c r="D331" s="4" t="inlineStr">
        <is>
          <t>지점내방 대형 판매대수</t>
        </is>
      </c>
      <c r="E331" s="4" t="inlineStr">
        <is>
          <t>2028</t>
        </is>
      </c>
      <c r="F331" s="8" t="inlineStr">
        <is>
          <t>N51</t>
        </is>
      </c>
      <c r="G331" s="4">
        <f>(N15*N50)</f>
        <v/>
      </c>
      <c r="H331" s="4" t="inlineStr">
        <is>
          <t>calculation</t>
        </is>
      </c>
    </row>
    <row r="332">
      <c r="B332" s="4" t="inlineStr">
        <is>
          <t>Model</t>
        </is>
      </c>
      <c r="C332" s="8" t="inlineStr">
        <is>
          <t>br_large_volume</t>
        </is>
      </c>
      <c r="D332" s="4" t="inlineStr">
        <is>
          <t>지점내방 대형 판매대수</t>
        </is>
      </c>
      <c r="E332" s="4" t="inlineStr">
        <is>
          <t>2029</t>
        </is>
      </c>
      <c r="F332" s="8" t="inlineStr">
        <is>
          <t>O51</t>
        </is>
      </c>
      <c r="G332" s="4">
        <f>(O15*O50)</f>
        <v/>
      </c>
      <c r="H332" s="4" t="inlineStr">
        <is>
          <t>calculation</t>
        </is>
      </c>
    </row>
    <row r="333">
      <c r="B333" s="4" t="inlineStr">
        <is>
          <t>Model</t>
        </is>
      </c>
      <c r="C333" s="8" t="inlineStr">
        <is>
          <t>br_large_asp</t>
        </is>
      </c>
      <c r="D333" s="4" t="inlineStr">
        <is>
          <t>지점내방 대형 ASP</t>
        </is>
      </c>
      <c r="E333" s="4" t="inlineStr">
        <is>
          <t>2023</t>
        </is>
      </c>
      <c r="F333" s="8" t="inlineStr">
        <is>
          <t>I52</t>
        </is>
      </c>
      <c r="G333" s="4">
        <f>'Assumptions'!I29</f>
        <v/>
      </c>
      <c r="H333" s="4" t="inlineStr">
        <is>
          <t>input link</t>
        </is>
      </c>
    </row>
    <row r="334">
      <c r="B334" s="4" t="inlineStr">
        <is>
          <t>Model</t>
        </is>
      </c>
      <c r="C334" s="8" t="inlineStr">
        <is>
          <t>br_large_asp</t>
        </is>
      </c>
      <c r="D334" s="4" t="inlineStr">
        <is>
          <t>지점내방 대형 ASP</t>
        </is>
      </c>
      <c r="E334" s="4" t="inlineStr">
        <is>
          <t>2024</t>
        </is>
      </c>
      <c r="F334" s="8" t="inlineStr">
        <is>
          <t>J52</t>
        </is>
      </c>
      <c r="G334" s="4">
        <f>'Assumptions'!J29</f>
        <v/>
      </c>
      <c r="H334" s="4" t="inlineStr">
        <is>
          <t>input link</t>
        </is>
      </c>
    </row>
    <row r="335">
      <c r="B335" s="4" t="inlineStr">
        <is>
          <t>Model</t>
        </is>
      </c>
      <c r="C335" s="8" t="inlineStr">
        <is>
          <t>br_large_asp</t>
        </is>
      </c>
      <c r="D335" s="4" t="inlineStr">
        <is>
          <t>지점내방 대형 ASP</t>
        </is>
      </c>
      <c r="E335" s="4" t="inlineStr">
        <is>
          <t>2025</t>
        </is>
      </c>
      <c r="F335" s="8" t="inlineStr">
        <is>
          <t>K52</t>
        </is>
      </c>
      <c r="G335" s="4">
        <f>'Assumptions'!K29</f>
        <v/>
      </c>
      <c r="H335" s="4" t="inlineStr">
        <is>
          <t>input link</t>
        </is>
      </c>
    </row>
    <row r="336">
      <c r="B336" s="4" t="inlineStr">
        <is>
          <t>Model</t>
        </is>
      </c>
      <c r="C336" s="8" t="inlineStr">
        <is>
          <t>br_large_asp</t>
        </is>
      </c>
      <c r="D336" s="4" t="inlineStr">
        <is>
          <t>지점내방 대형 ASP</t>
        </is>
      </c>
      <c r="E336" s="4" t="inlineStr">
        <is>
          <t>2026</t>
        </is>
      </c>
      <c r="F336" s="8" t="inlineStr">
        <is>
          <t>L52</t>
        </is>
      </c>
      <c r="G336" s="4">
        <f>'Assumptions'!L29</f>
        <v/>
      </c>
      <c r="H336" s="4" t="inlineStr">
        <is>
          <t>input link</t>
        </is>
      </c>
    </row>
    <row r="337">
      <c r="B337" s="4" t="inlineStr">
        <is>
          <t>Model</t>
        </is>
      </c>
      <c r="C337" s="8" t="inlineStr">
        <is>
          <t>br_large_asp</t>
        </is>
      </c>
      <c r="D337" s="4" t="inlineStr">
        <is>
          <t>지점내방 대형 ASP</t>
        </is>
      </c>
      <c r="E337" s="4" t="inlineStr">
        <is>
          <t>2027</t>
        </is>
      </c>
      <c r="F337" s="8" t="inlineStr">
        <is>
          <t>M52</t>
        </is>
      </c>
      <c r="G337" s="4">
        <f>'Assumptions'!M29</f>
        <v/>
      </c>
      <c r="H337" s="4" t="inlineStr">
        <is>
          <t>input link</t>
        </is>
      </c>
    </row>
    <row r="338">
      <c r="B338" s="4" t="inlineStr">
        <is>
          <t>Model</t>
        </is>
      </c>
      <c r="C338" s="8" t="inlineStr">
        <is>
          <t>br_large_asp</t>
        </is>
      </c>
      <c r="D338" s="4" t="inlineStr">
        <is>
          <t>지점내방 대형 ASP</t>
        </is>
      </c>
      <c r="E338" s="4" t="inlineStr">
        <is>
          <t>2028</t>
        </is>
      </c>
      <c r="F338" s="8" t="inlineStr">
        <is>
          <t>N52</t>
        </is>
      </c>
      <c r="G338" s="4">
        <f>'Assumptions'!N29</f>
        <v/>
      </c>
      <c r="H338" s="4" t="inlineStr">
        <is>
          <t>input link</t>
        </is>
      </c>
    </row>
    <row r="339">
      <c r="B339" s="4" t="inlineStr">
        <is>
          <t>Model</t>
        </is>
      </c>
      <c r="C339" s="8" t="inlineStr">
        <is>
          <t>br_large_asp</t>
        </is>
      </c>
      <c r="D339" s="4" t="inlineStr">
        <is>
          <t>지점내방 대형 ASP</t>
        </is>
      </c>
      <c r="E339" s="4" t="inlineStr">
        <is>
          <t>2029</t>
        </is>
      </c>
      <c r="F339" s="8" t="inlineStr">
        <is>
          <t>O52</t>
        </is>
      </c>
      <c r="G339" s="4">
        <f>'Assumptions'!O29</f>
        <v/>
      </c>
      <c r="H339" s="4" t="inlineStr">
        <is>
          <t>input link</t>
        </is>
      </c>
    </row>
    <row r="340">
      <c r="B340" s="4" t="inlineStr">
        <is>
          <t>Model</t>
        </is>
      </c>
      <c r="C340" s="8" t="inlineStr">
        <is>
          <t>br_midsize_rev</t>
        </is>
      </c>
      <c r="D340" s="4" t="inlineStr">
        <is>
          <t>지점내방 중형</t>
        </is>
      </c>
      <c r="E340" s="4" t="inlineStr">
        <is>
          <t>2023</t>
        </is>
      </c>
      <c r="F340" s="8" t="inlineStr">
        <is>
          <t>I53</t>
        </is>
      </c>
      <c r="G340" s="4">
        <f>(I55*I56)</f>
        <v/>
      </c>
      <c r="H340" s="4" t="inlineStr">
        <is>
          <t>calculation</t>
        </is>
      </c>
    </row>
    <row r="341">
      <c r="B341" s="4" t="inlineStr">
        <is>
          <t>Model</t>
        </is>
      </c>
      <c r="C341" s="8" t="inlineStr">
        <is>
          <t>br_midsize_rev</t>
        </is>
      </c>
      <c r="D341" s="4" t="inlineStr">
        <is>
          <t>지점내방 중형</t>
        </is>
      </c>
      <c r="E341" s="4" t="inlineStr">
        <is>
          <t>2024</t>
        </is>
      </c>
      <c r="F341" s="8" t="inlineStr">
        <is>
          <t>J53</t>
        </is>
      </c>
      <c r="G341" s="4">
        <f>(J55*J56)</f>
        <v/>
      </c>
      <c r="H341" s="4" t="inlineStr">
        <is>
          <t>calculation</t>
        </is>
      </c>
    </row>
    <row r="342">
      <c r="B342" s="4" t="inlineStr">
        <is>
          <t>Model</t>
        </is>
      </c>
      <c r="C342" s="8" t="inlineStr">
        <is>
          <t>br_midsize_rev</t>
        </is>
      </c>
      <c r="D342" s="4" t="inlineStr">
        <is>
          <t>지점내방 중형</t>
        </is>
      </c>
      <c r="E342" s="4" t="inlineStr">
        <is>
          <t>2025</t>
        </is>
      </c>
      <c r="F342" s="8" t="inlineStr">
        <is>
          <t>K53</t>
        </is>
      </c>
      <c r="G342" s="4">
        <f>(K55*K56)</f>
        <v/>
      </c>
      <c r="H342" s="4" t="inlineStr">
        <is>
          <t>calculation</t>
        </is>
      </c>
    </row>
    <row r="343">
      <c r="B343" s="4" t="inlineStr">
        <is>
          <t>Model</t>
        </is>
      </c>
      <c r="C343" s="8" t="inlineStr">
        <is>
          <t>br_midsize_rev</t>
        </is>
      </c>
      <c r="D343" s="4" t="inlineStr">
        <is>
          <t>지점내방 중형</t>
        </is>
      </c>
      <c r="E343" s="4" t="inlineStr">
        <is>
          <t>2026</t>
        </is>
      </c>
      <c r="F343" s="8" t="inlineStr">
        <is>
          <t>L53</t>
        </is>
      </c>
      <c r="G343" s="4">
        <f>(L55*L56)</f>
        <v/>
      </c>
      <c r="H343" s="4" t="inlineStr">
        <is>
          <t>calculation</t>
        </is>
      </c>
    </row>
    <row r="344">
      <c r="B344" s="4" t="inlineStr">
        <is>
          <t>Model</t>
        </is>
      </c>
      <c r="C344" s="8" t="inlineStr">
        <is>
          <t>br_midsize_rev</t>
        </is>
      </c>
      <c r="D344" s="4" t="inlineStr">
        <is>
          <t>지점내방 중형</t>
        </is>
      </c>
      <c r="E344" s="4" t="inlineStr">
        <is>
          <t>2027</t>
        </is>
      </c>
      <c r="F344" s="8" t="inlineStr">
        <is>
          <t>M53</t>
        </is>
      </c>
      <c r="G344" s="4">
        <f>(M55*M56)</f>
        <v/>
      </c>
      <c r="H344" s="4" t="inlineStr">
        <is>
          <t>calculation</t>
        </is>
      </c>
    </row>
    <row r="345">
      <c r="B345" s="4" t="inlineStr">
        <is>
          <t>Model</t>
        </is>
      </c>
      <c r="C345" s="8" t="inlineStr">
        <is>
          <t>br_midsize_rev</t>
        </is>
      </c>
      <c r="D345" s="4" t="inlineStr">
        <is>
          <t>지점내방 중형</t>
        </is>
      </c>
      <c r="E345" s="4" t="inlineStr">
        <is>
          <t>2028</t>
        </is>
      </c>
      <c r="F345" s="8" t="inlineStr">
        <is>
          <t>N53</t>
        </is>
      </c>
      <c r="G345" s="4">
        <f>(N55*N56)</f>
        <v/>
      </c>
      <c r="H345" s="4" t="inlineStr">
        <is>
          <t>calculation</t>
        </is>
      </c>
    </row>
    <row r="346">
      <c r="B346" s="4" t="inlineStr">
        <is>
          <t>Model</t>
        </is>
      </c>
      <c r="C346" s="8" t="inlineStr">
        <is>
          <t>br_midsize_rev</t>
        </is>
      </c>
      <c r="D346" s="4" t="inlineStr">
        <is>
          <t>지점내방 중형</t>
        </is>
      </c>
      <c r="E346" s="4" t="inlineStr">
        <is>
          <t>2029</t>
        </is>
      </c>
      <c r="F346" s="8" t="inlineStr">
        <is>
          <t>O53</t>
        </is>
      </c>
      <c r="G346" s="4">
        <f>(O55*O56)</f>
        <v/>
      </c>
      <c r="H346" s="4" t="inlineStr">
        <is>
          <t>calculation</t>
        </is>
      </c>
    </row>
    <row r="347">
      <c r="B347" s="4" t="inlineStr">
        <is>
          <t>Model</t>
        </is>
      </c>
      <c r="C347" s="8" t="inlineStr">
        <is>
          <t>br_midsize_share</t>
        </is>
      </c>
      <c r="D347" s="4" t="inlineStr">
        <is>
          <t>지점내방 중형 점유율</t>
        </is>
      </c>
      <c r="E347" s="4" t="inlineStr">
        <is>
          <t>2023</t>
        </is>
      </c>
      <c r="F347" s="8" t="inlineStr">
        <is>
          <t>I54</t>
        </is>
      </c>
      <c r="G347" s="4">
        <f>'Assumptions'!I30</f>
        <v/>
      </c>
      <c r="H347" s="4" t="inlineStr">
        <is>
          <t>input link</t>
        </is>
      </c>
    </row>
    <row r="348">
      <c r="B348" s="4" t="inlineStr">
        <is>
          <t>Model</t>
        </is>
      </c>
      <c r="C348" s="8" t="inlineStr">
        <is>
          <t>br_midsize_share</t>
        </is>
      </c>
      <c r="D348" s="4" t="inlineStr">
        <is>
          <t>지점내방 중형 점유율</t>
        </is>
      </c>
      <c r="E348" s="4" t="inlineStr">
        <is>
          <t>2024</t>
        </is>
      </c>
      <c r="F348" s="8" t="inlineStr">
        <is>
          <t>J54</t>
        </is>
      </c>
      <c r="G348" s="4">
        <f>'Assumptions'!J30</f>
        <v/>
      </c>
      <c r="H348" s="4" t="inlineStr">
        <is>
          <t>input link</t>
        </is>
      </c>
    </row>
    <row r="349">
      <c r="B349" s="4" t="inlineStr">
        <is>
          <t>Model</t>
        </is>
      </c>
      <c r="C349" s="8" t="inlineStr">
        <is>
          <t>br_midsize_share</t>
        </is>
      </c>
      <c r="D349" s="4" t="inlineStr">
        <is>
          <t>지점내방 중형 점유율</t>
        </is>
      </c>
      <c r="E349" s="4" t="inlineStr">
        <is>
          <t>2025</t>
        </is>
      </c>
      <c r="F349" s="8" t="inlineStr">
        <is>
          <t>K54</t>
        </is>
      </c>
      <c r="G349" s="4">
        <f>'Assumptions'!K30</f>
        <v/>
      </c>
      <c r="H349" s="4" t="inlineStr">
        <is>
          <t>input link</t>
        </is>
      </c>
    </row>
    <row r="350">
      <c r="B350" s="4" t="inlineStr">
        <is>
          <t>Model</t>
        </is>
      </c>
      <c r="C350" s="8" t="inlineStr">
        <is>
          <t>br_midsize_share</t>
        </is>
      </c>
      <c r="D350" s="4" t="inlineStr">
        <is>
          <t>지점내방 중형 점유율</t>
        </is>
      </c>
      <c r="E350" s="4" t="inlineStr">
        <is>
          <t>2026</t>
        </is>
      </c>
      <c r="F350" s="8" t="inlineStr">
        <is>
          <t>L54</t>
        </is>
      </c>
      <c r="G350" s="4">
        <f>'Assumptions'!L30</f>
        <v/>
      </c>
      <c r="H350" s="4" t="inlineStr">
        <is>
          <t>input link</t>
        </is>
      </c>
    </row>
    <row r="351">
      <c r="B351" s="4" t="inlineStr">
        <is>
          <t>Model</t>
        </is>
      </c>
      <c r="C351" s="8" t="inlineStr">
        <is>
          <t>br_midsize_share</t>
        </is>
      </c>
      <c r="D351" s="4" t="inlineStr">
        <is>
          <t>지점내방 중형 점유율</t>
        </is>
      </c>
      <c r="E351" s="4" t="inlineStr">
        <is>
          <t>2027</t>
        </is>
      </c>
      <c r="F351" s="8" t="inlineStr">
        <is>
          <t>M54</t>
        </is>
      </c>
      <c r="G351" s="4">
        <f>'Assumptions'!M30</f>
        <v/>
      </c>
      <c r="H351" s="4" t="inlineStr">
        <is>
          <t>input link</t>
        </is>
      </c>
    </row>
    <row r="352">
      <c r="B352" s="4" t="inlineStr">
        <is>
          <t>Model</t>
        </is>
      </c>
      <c r="C352" s="8" t="inlineStr">
        <is>
          <t>br_midsize_share</t>
        </is>
      </c>
      <c r="D352" s="4" t="inlineStr">
        <is>
          <t>지점내방 중형 점유율</t>
        </is>
      </c>
      <c r="E352" s="4" t="inlineStr">
        <is>
          <t>2028</t>
        </is>
      </c>
      <c r="F352" s="8" t="inlineStr">
        <is>
          <t>N54</t>
        </is>
      </c>
      <c r="G352" s="4">
        <f>'Assumptions'!N30</f>
        <v/>
      </c>
      <c r="H352" s="4" t="inlineStr">
        <is>
          <t>input link</t>
        </is>
      </c>
    </row>
    <row r="353">
      <c r="B353" s="4" t="inlineStr">
        <is>
          <t>Model</t>
        </is>
      </c>
      <c r="C353" s="8" t="inlineStr">
        <is>
          <t>br_midsize_share</t>
        </is>
      </c>
      <c r="D353" s="4" t="inlineStr">
        <is>
          <t>지점내방 중형 점유율</t>
        </is>
      </c>
      <c r="E353" s="4" t="inlineStr">
        <is>
          <t>2029</t>
        </is>
      </c>
      <c r="F353" s="8" t="inlineStr">
        <is>
          <t>O54</t>
        </is>
      </c>
      <c r="G353" s="4">
        <f>'Assumptions'!O30</f>
        <v/>
      </c>
      <c r="H353" s="4" t="inlineStr">
        <is>
          <t>input link</t>
        </is>
      </c>
    </row>
    <row r="354">
      <c r="B354" s="4" t="inlineStr">
        <is>
          <t>Model</t>
        </is>
      </c>
      <c r="C354" s="8" t="inlineStr">
        <is>
          <t>br_midsize_volume</t>
        </is>
      </c>
      <c r="D354" s="4" t="inlineStr">
        <is>
          <t>지점내방 중형 판매대수</t>
        </is>
      </c>
      <c r="E354" s="4" t="inlineStr">
        <is>
          <t>2023</t>
        </is>
      </c>
      <c r="F354" s="8" t="inlineStr">
        <is>
          <t>I55</t>
        </is>
      </c>
      <c r="G354" s="4">
        <f>(I20*I54)</f>
        <v/>
      </c>
      <c r="H354" s="4" t="inlineStr">
        <is>
          <t>calculation</t>
        </is>
      </c>
    </row>
    <row r="355">
      <c r="B355" s="4" t="inlineStr">
        <is>
          <t>Model</t>
        </is>
      </c>
      <c r="C355" s="8" t="inlineStr">
        <is>
          <t>br_midsize_volume</t>
        </is>
      </c>
      <c r="D355" s="4" t="inlineStr">
        <is>
          <t>지점내방 중형 판매대수</t>
        </is>
      </c>
      <c r="E355" s="4" t="inlineStr">
        <is>
          <t>2024</t>
        </is>
      </c>
      <c r="F355" s="8" t="inlineStr">
        <is>
          <t>J55</t>
        </is>
      </c>
      <c r="G355" s="4">
        <f>(J20*J54)</f>
        <v/>
      </c>
      <c r="H355" s="4" t="inlineStr">
        <is>
          <t>calculation</t>
        </is>
      </c>
    </row>
    <row r="356">
      <c r="B356" s="4" t="inlineStr">
        <is>
          <t>Model</t>
        </is>
      </c>
      <c r="C356" s="8" t="inlineStr">
        <is>
          <t>br_midsize_volume</t>
        </is>
      </c>
      <c r="D356" s="4" t="inlineStr">
        <is>
          <t>지점내방 중형 판매대수</t>
        </is>
      </c>
      <c r="E356" s="4" t="inlineStr">
        <is>
          <t>2025</t>
        </is>
      </c>
      <c r="F356" s="8" t="inlineStr">
        <is>
          <t>K55</t>
        </is>
      </c>
      <c r="G356" s="4">
        <f>(K20*K54)</f>
        <v/>
      </c>
      <c r="H356" s="4" t="inlineStr">
        <is>
          <t>calculation</t>
        </is>
      </c>
    </row>
    <row r="357">
      <c r="B357" s="4" t="inlineStr">
        <is>
          <t>Model</t>
        </is>
      </c>
      <c r="C357" s="8" t="inlineStr">
        <is>
          <t>br_midsize_volume</t>
        </is>
      </c>
      <c r="D357" s="4" t="inlineStr">
        <is>
          <t>지점내방 중형 판매대수</t>
        </is>
      </c>
      <c r="E357" s="4" t="inlineStr">
        <is>
          <t>2026</t>
        </is>
      </c>
      <c r="F357" s="8" t="inlineStr">
        <is>
          <t>L55</t>
        </is>
      </c>
      <c r="G357" s="4">
        <f>(L20*L54)</f>
        <v/>
      </c>
      <c r="H357" s="4" t="inlineStr">
        <is>
          <t>calculation</t>
        </is>
      </c>
    </row>
    <row r="358">
      <c r="B358" s="4" t="inlineStr">
        <is>
          <t>Model</t>
        </is>
      </c>
      <c r="C358" s="8" t="inlineStr">
        <is>
          <t>br_midsize_volume</t>
        </is>
      </c>
      <c r="D358" s="4" t="inlineStr">
        <is>
          <t>지점내방 중형 판매대수</t>
        </is>
      </c>
      <c r="E358" s="4" t="inlineStr">
        <is>
          <t>2027</t>
        </is>
      </c>
      <c r="F358" s="8" t="inlineStr">
        <is>
          <t>M55</t>
        </is>
      </c>
      <c r="G358" s="4">
        <f>(M20*M54)</f>
        <v/>
      </c>
      <c r="H358" s="4" t="inlineStr">
        <is>
          <t>calculation</t>
        </is>
      </c>
    </row>
    <row r="359">
      <c r="B359" s="4" t="inlineStr">
        <is>
          <t>Model</t>
        </is>
      </c>
      <c r="C359" s="8" t="inlineStr">
        <is>
          <t>br_midsize_volume</t>
        </is>
      </c>
      <c r="D359" s="4" t="inlineStr">
        <is>
          <t>지점내방 중형 판매대수</t>
        </is>
      </c>
      <c r="E359" s="4" t="inlineStr">
        <is>
          <t>2028</t>
        </is>
      </c>
      <c r="F359" s="8" t="inlineStr">
        <is>
          <t>N55</t>
        </is>
      </c>
      <c r="G359" s="4">
        <f>(N20*N54)</f>
        <v/>
      </c>
      <c r="H359" s="4" t="inlineStr">
        <is>
          <t>calculation</t>
        </is>
      </c>
    </row>
    <row r="360">
      <c r="B360" s="4" t="inlineStr">
        <is>
          <t>Model</t>
        </is>
      </c>
      <c r="C360" s="8" t="inlineStr">
        <is>
          <t>br_midsize_volume</t>
        </is>
      </c>
      <c r="D360" s="4" t="inlineStr">
        <is>
          <t>지점내방 중형 판매대수</t>
        </is>
      </c>
      <c r="E360" s="4" t="inlineStr">
        <is>
          <t>2029</t>
        </is>
      </c>
      <c r="F360" s="8" t="inlineStr">
        <is>
          <t>O55</t>
        </is>
      </c>
      <c r="G360" s="4">
        <f>(O20*O54)</f>
        <v/>
      </c>
      <c r="H360" s="4" t="inlineStr">
        <is>
          <t>calculation</t>
        </is>
      </c>
    </row>
    <row r="361">
      <c r="B361" s="4" t="inlineStr">
        <is>
          <t>Model</t>
        </is>
      </c>
      <c r="C361" s="8" t="inlineStr">
        <is>
          <t>br_midsize_asp</t>
        </is>
      </c>
      <c r="D361" s="4" t="inlineStr">
        <is>
          <t>지점내방 중형 ASP</t>
        </is>
      </c>
      <c r="E361" s="4" t="inlineStr">
        <is>
          <t>2023</t>
        </is>
      </c>
      <c r="F361" s="8" t="inlineStr">
        <is>
          <t>I56</t>
        </is>
      </c>
      <c r="G361" s="4">
        <f>'Assumptions'!I31</f>
        <v/>
      </c>
      <c r="H361" s="4" t="inlineStr">
        <is>
          <t>input link</t>
        </is>
      </c>
    </row>
    <row r="362">
      <c r="B362" s="4" t="inlineStr">
        <is>
          <t>Model</t>
        </is>
      </c>
      <c r="C362" s="8" t="inlineStr">
        <is>
          <t>br_midsize_asp</t>
        </is>
      </c>
      <c r="D362" s="4" t="inlineStr">
        <is>
          <t>지점내방 중형 ASP</t>
        </is>
      </c>
      <c r="E362" s="4" t="inlineStr">
        <is>
          <t>2024</t>
        </is>
      </c>
      <c r="F362" s="8" t="inlineStr">
        <is>
          <t>J56</t>
        </is>
      </c>
      <c r="G362" s="4">
        <f>'Assumptions'!J31</f>
        <v/>
      </c>
      <c r="H362" s="4" t="inlineStr">
        <is>
          <t>input link</t>
        </is>
      </c>
    </row>
    <row r="363">
      <c r="B363" s="4" t="inlineStr">
        <is>
          <t>Model</t>
        </is>
      </c>
      <c r="C363" s="8" t="inlineStr">
        <is>
          <t>br_midsize_asp</t>
        </is>
      </c>
      <c r="D363" s="4" t="inlineStr">
        <is>
          <t>지점내방 중형 ASP</t>
        </is>
      </c>
      <c r="E363" s="4" t="inlineStr">
        <is>
          <t>2025</t>
        </is>
      </c>
      <c r="F363" s="8" t="inlineStr">
        <is>
          <t>K56</t>
        </is>
      </c>
      <c r="G363" s="4">
        <f>'Assumptions'!K31</f>
        <v/>
      </c>
      <c r="H363" s="4" t="inlineStr">
        <is>
          <t>input link</t>
        </is>
      </c>
    </row>
    <row r="364">
      <c r="B364" s="4" t="inlineStr">
        <is>
          <t>Model</t>
        </is>
      </c>
      <c r="C364" s="8" t="inlineStr">
        <is>
          <t>br_midsize_asp</t>
        </is>
      </c>
      <c r="D364" s="4" t="inlineStr">
        <is>
          <t>지점내방 중형 ASP</t>
        </is>
      </c>
      <c r="E364" s="4" t="inlineStr">
        <is>
          <t>2026</t>
        </is>
      </c>
      <c r="F364" s="8" t="inlineStr">
        <is>
          <t>L56</t>
        </is>
      </c>
      <c r="G364" s="4">
        <f>'Assumptions'!L31</f>
        <v/>
      </c>
      <c r="H364" s="4" t="inlineStr">
        <is>
          <t>input link</t>
        </is>
      </c>
    </row>
    <row r="365">
      <c r="B365" s="4" t="inlineStr">
        <is>
          <t>Model</t>
        </is>
      </c>
      <c r="C365" s="8" t="inlineStr">
        <is>
          <t>br_midsize_asp</t>
        </is>
      </c>
      <c r="D365" s="4" t="inlineStr">
        <is>
          <t>지점내방 중형 ASP</t>
        </is>
      </c>
      <c r="E365" s="4" t="inlineStr">
        <is>
          <t>2027</t>
        </is>
      </c>
      <c r="F365" s="8" t="inlineStr">
        <is>
          <t>M56</t>
        </is>
      </c>
      <c r="G365" s="4">
        <f>'Assumptions'!M31</f>
        <v/>
      </c>
      <c r="H365" s="4" t="inlineStr">
        <is>
          <t>input link</t>
        </is>
      </c>
    </row>
    <row r="366">
      <c r="B366" s="4" t="inlineStr">
        <is>
          <t>Model</t>
        </is>
      </c>
      <c r="C366" s="8" t="inlineStr">
        <is>
          <t>br_midsize_asp</t>
        </is>
      </c>
      <c r="D366" s="4" t="inlineStr">
        <is>
          <t>지점내방 중형 ASP</t>
        </is>
      </c>
      <c r="E366" s="4" t="inlineStr">
        <is>
          <t>2028</t>
        </is>
      </c>
      <c r="F366" s="8" t="inlineStr">
        <is>
          <t>N56</t>
        </is>
      </c>
      <c r="G366" s="4">
        <f>'Assumptions'!N31</f>
        <v/>
      </c>
      <c r="H366" s="4" t="inlineStr">
        <is>
          <t>input link</t>
        </is>
      </c>
    </row>
    <row r="367">
      <c r="B367" s="4" t="inlineStr">
        <is>
          <t>Model</t>
        </is>
      </c>
      <c r="C367" s="8" t="inlineStr">
        <is>
          <t>br_midsize_asp</t>
        </is>
      </c>
      <c r="D367" s="4" t="inlineStr">
        <is>
          <t>지점내방 중형 ASP</t>
        </is>
      </c>
      <c r="E367" s="4" t="inlineStr">
        <is>
          <t>2029</t>
        </is>
      </c>
      <c r="F367" s="8" t="inlineStr">
        <is>
          <t>O56</t>
        </is>
      </c>
      <c r="G367" s="4">
        <f>'Assumptions'!O31</f>
        <v/>
      </c>
      <c r="H367" s="4" t="inlineStr">
        <is>
          <t>input link</t>
        </is>
      </c>
    </row>
    <row r="368">
      <c r="B368" s="4" t="inlineStr">
        <is>
          <t>Model</t>
        </is>
      </c>
      <c r="C368" s="8" t="inlineStr">
        <is>
          <t>br_compact_rev</t>
        </is>
      </c>
      <c r="D368" s="4" t="inlineStr">
        <is>
          <t>지점내방 준중형</t>
        </is>
      </c>
      <c r="E368" s="4" t="inlineStr">
        <is>
          <t>2023</t>
        </is>
      </c>
      <c r="F368" s="8" t="inlineStr">
        <is>
          <t>I57</t>
        </is>
      </c>
      <c r="G368" s="4">
        <f>(I59*I60)</f>
        <v/>
      </c>
      <c r="H368" s="4" t="inlineStr">
        <is>
          <t>calculation</t>
        </is>
      </c>
    </row>
    <row r="369">
      <c r="B369" s="4" t="inlineStr">
        <is>
          <t>Model</t>
        </is>
      </c>
      <c r="C369" s="8" t="inlineStr">
        <is>
          <t>br_compact_rev</t>
        </is>
      </c>
      <c r="D369" s="4" t="inlineStr">
        <is>
          <t>지점내방 준중형</t>
        </is>
      </c>
      <c r="E369" s="4" t="inlineStr">
        <is>
          <t>2024</t>
        </is>
      </c>
      <c r="F369" s="8" t="inlineStr">
        <is>
          <t>J57</t>
        </is>
      </c>
      <c r="G369" s="4">
        <f>(J59*J60)</f>
        <v/>
      </c>
      <c r="H369" s="4" t="inlineStr">
        <is>
          <t>calculation</t>
        </is>
      </c>
    </row>
    <row r="370">
      <c r="B370" s="4" t="inlineStr">
        <is>
          <t>Model</t>
        </is>
      </c>
      <c r="C370" s="8" t="inlineStr">
        <is>
          <t>br_compact_rev</t>
        </is>
      </c>
      <c r="D370" s="4" t="inlineStr">
        <is>
          <t>지점내방 준중형</t>
        </is>
      </c>
      <c r="E370" s="4" t="inlineStr">
        <is>
          <t>2025</t>
        </is>
      </c>
      <c r="F370" s="8" t="inlineStr">
        <is>
          <t>K57</t>
        </is>
      </c>
      <c r="G370" s="4">
        <f>(K59*K60)</f>
        <v/>
      </c>
      <c r="H370" s="4" t="inlineStr">
        <is>
          <t>calculation</t>
        </is>
      </c>
    </row>
    <row r="371">
      <c r="B371" s="4" t="inlineStr">
        <is>
          <t>Model</t>
        </is>
      </c>
      <c r="C371" s="8" t="inlineStr">
        <is>
          <t>br_compact_rev</t>
        </is>
      </c>
      <c r="D371" s="4" t="inlineStr">
        <is>
          <t>지점내방 준중형</t>
        </is>
      </c>
      <c r="E371" s="4" t="inlineStr">
        <is>
          <t>2026</t>
        </is>
      </c>
      <c r="F371" s="8" t="inlineStr">
        <is>
          <t>L57</t>
        </is>
      </c>
      <c r="G371" s="4">
        <f>(L59*L60)</f>
        <v/>
      </c>
      <c r="H371" s="4" t="inlineStr">
        <is>
          <t>calculation</t>
        </is>
      </c>
    </row>
    <row r="372">
      <c r="B372" s="4" t="inlineStr">
        <is>
          <t>Model</t>
        </is>
      </c>
      <c r="C372" s="8" t="inlineStr">
        <is>
          <t>br_compact_rev</t>
        </is>
      </c>
      <c r="D372" s="4" t="inlineStr">
        <is>
          <t>지점내방 준중형</t>
        </is>
      </c>
      <c r="E372" s="4" t="inlineStr">
        <is>
          <t>2027</t>
        </is>
      </c>
      <c r="F372" s="8" t="inlineStr">
        <is>
          <t>M57</t>
        </is>
      </c>
      <c r="G372" s="4">
        <f>(M59*M60)</f>
        <v/>
      </c>
      <c r="H372" s="4" t="inlineStr">
        <is>
          <t>calculation</t>
        </is>
      </c>
    </row>
    <row r="373">
      <c r="B373" s="4" t="inlineStr">
        <is>
          <t>Model</t>
        </is>
      </c>
      <c r="C373" s="8" t="inlineStr">
        <is>
          <t>br_compact_rev</t>
        </is>
      </c>
      <c r="D373" s="4" t="inlineStr">
        <is>
          <t>지점내방 준중형</t>
        </is>
      </c>
      <c r="E373" s="4" t="inlineStr">
        <is>
          <t>2028</t>
        </is>
      </c>
      <c r="F373" s="8" t="inlineStr">
        <is>
          <t>N57</t>
        </is>
      </c>
      <c r="G373" s="4">
        <f>(N59*N60)</f>
        <v/>
      </c>
      <c r="H373" s="4" t="inlineStr">
        <is>
          <t>calculation</t>
        </is>
      </c>
    </row>
    <row r="374">
      <c r="B374" s="4" t="inlineStr">
        <is>
          <t>Model</t>
        </is>
      </c>
      <c r="C374" s="8" t="inlineStr">
        <is>
          <t>br_compact_rev</t>
        </is>
      </c>
      <c r="D374" s="4" t="inlineStr">
        <is>
          <t>지점내방 준중형</t>
        </is>
      </c>
      <c r="E374" s="4" t="inlineStr">
        <is>
          <t>2029</t>
        </is>
      </c>
      <c r="F374" s="8" t="inlineStr">
        <is>
          <t>O57</t>
        </is>
      </c>
      <c r="G374" s="4">
        <f>(O59*O60)</f>
        <v/>
      </c>
      <c r="H374" s="4" t="inlineStr">
        <is>
          <t>calculation</t>
        </is>
      </c>
    </row>
    <row r="375">
      <c r="B375" s="4" t="inlineStr">
        <is>
          <t>Model</t>
        </is>
      </c>
      <c r="C375" s="8" t="inlineStr">
        <is>
          <t>br_compact_share</t>
        </is>
      </c>
      <c r="D375" s="4" t="inlineStr">
        <is>
          <t>지점내방 준중형 점유율</t>
        </is>
      </c>
      <c r="E375" s="4" t="inlineStr">
        <is>
          <t>2023</t>
        </is>
      </c>
      <c r="F375" s="8" t="inlineStr">
        <is>
          <t>I58</t>
        </is>
      </c>
      <c r="G375" s="4">
        <f>'Assumptions'!I32</f>
        <v/>
      </c>
      <c r="H375" s="4" t="inlineStr">
        <is>
          <t>input link</t>
        </is>
      </c>
    </row>
    <row r="376">
      <c r="B376" s="4" t="inlineStr">
        <is>
          <t>Model</t>
        </is>
      </c>
      <c r="C376" s="8" t="inlineStr">
        <is>
          <t>br_compact_share</t>
        </is>
      </c>
      <c r="D376" s="4" t="inlineStr">
        <is>
          <t>지점내방 준중형 점유율</t>
        </is>
      </c>
      <c r="E376" s="4" t="inlineStr">
        <is>
          <t>2024</t>
        </is>
      </c>
      <c r="F376" s="8" t="inlineStr">
        <is>
          <t>J58</t>
        </is>
      </c>
      <c r="G376" s="4">
        <f>'Assumptions'!J32</f>
        <v/>
      </c>
      <c r="H376" s="4" t="inlineStr">
        <is>
          <t>input link</t>
        </is>
      </c>
    </row>
    <row r="377">
      <c r="B377" s="4" t="inlineStr">
        <is>
          <t>Model</t>
        </is>
      </c>
      <c r="C377" s="8" t="inlineStr">
        <is>
          <t>br_compact_share</t>
        </is>
      </c>
      <c r="D377" s="4" t="inlineStr">
        <is>
          <t>지점내방 준중형 점유율</t>
        </is>
      </c>
      <c r="E377" s="4" t="inlineStr">
        <is>
          <t>2025</t>
        </is>
      </c>
      <c r="F377" s="8" t="inlineStr">
        <is>
          <t>K58</t>
        </is>
      </c>
      <c r="G377" s="4">
        <f>'Assumptions'!K32</f>
        <v/>
      </c>
      <c r="H377" s="4" t="inlineStr">
        <is>
          <t>input link</t>
        </is>
      </c>
    </row>
    <row r="378">
      <c r="B378" s="4" t="inlineStr">
        <is>
          <t>Model</t>
        </is>
      </c>
      <c r="C378" s="8" t="inlineStr">
        <is>
          <t>br_compact_share</t>
        </is>
      </c>
      <c r="D378" s="4" t="inlineStr">
        <is>
          <t>지점내방 준중형 점유율</t>
        </is>
      </c>
      <c r="E378" s="4" t="inlineStr">
        <is>
          <t>2026</t>
        </is>
      </c>
      <c r="F378" s="8" t="inlineStr">
        <is>
          <t>L58</t>
        </is>
      </c>
      <c r="G378" s="4">
        <f>'Assumptions'!L32</f>
        <v/>
      </c>
      <c r="H378" s="4" t="inlineStr">
        <is>
          <t>input link</t>
        </is>
      </c>
    </row>
    <row r="379">
      <c r="B379" s="4" t="inlineStr">
        <is>
          <t>Model</t>
        </is>
      </c>
      <c r="C379" s="8" t="inlineStr">
        <is>
          <t>br_compact_share</t>
        </is>
      </c>
      <c r="D379" s="4" t="inlineStr">
        <is>
          <t>지점내방 준중형 점유율</t>
        </is>
      </c>
      <c r="E379" s="4" t="inlineStr">
        <is>
          <t>2027</t>
        </is>
      </c>
      <c r="F379" s="8" t="inlineStr">
        <is>
          <t>M58</t>
        </is>
      </c>
      <c r="G379" s="4">
        <f>'Assumptions'!M32</f>
        <v/>
      </c>
      <c r="H379" s="4" t="inlineStr">
        <is>
          <t>input link</t>
        </is>
      </c>
    </row>
    <row r="380">
      <c r="B380" s="4" t="inlineStr">
        <is>
          <t>Model</t>
        </is>
      </c>
      <c r="C380" s="8" t="inlineStr">
        <is>
          <t>br_compact_share</t>
        </is>
      </c>
      <c r="D380" s="4" t="inlineStr">
        <is>
          <t>지점내방 준중형 점유율</t>
        </is>
      </c>
      <c r="E380" s="4" t="inlineStr">
        <is>
          <t>2028</t>
        </is>
      </c>
      <c r="F380" s="8" t="inlineStr">
        <is>
          <t>N58</t>
        </is>
      </c>
      <c r="G380" s="4">
        <f>'Assumptions'!N32</f>
        <v/>
      </c>
      <c r="H380" s="4" t="inlineStr">
        <is>
          <t>input link</t>
        </is>
      </c>
    </row>
    <row r="381">
      <c r="B381" s="4" t="inlineStr">
        <is>
          <t>Model</t>
        </is>
      </c>
      <c r="C381" s="8" t="inlineStr">
        <is>
          <t>br_compact_share</t>
        </is>
      </c>
      <c r="D381" s="4" t="inlineStr">
        <is>
          <t>지점내방 준중형 점유율</t>
        </is>
      </c>
      <c r="E381" s="4" t="inlineStr">
        <is>
          <t>2029</t>
        </is>
      </c>
      <c r="F381" s="8" t="inlineStr">
        <is>
          <t>O58</t>
        </is>
      </c>
      <c r="G381" s="4">
        <f>'Assumptions'!O32</f>
        <v/>
      </c>
      <c r="H381" s="4" t="inlineStr">
        <is>
          <t>input link</t>
        </is>
      </c>
    </row>
    <row r="382">
      <c r="B382" s="4" t="inlineStr">
        <is>
          <t>Model</t>
        </is>
      </c>
      <c r="C382" s="8" t="inlineStr">
        <is>
          <t>br_compact_volume</t>
        </is>
      </c>
      <c r="D382" s="4" t="inlineStr">
        <is>
          <t>지점내방 준중형 판매대수</t>
        </is>
      </c>
      <c r="E382" s="4" t="inlineStr">
        <is>
          <t>2023</t>
        </is>
      </c>
      <c r="F382" s="8" t="inlineStr">
        <is>
          <t>I59</t>
        </is>
      </c>
      <c r="G382" s="4">
        <f>(I25*I58)</f>
        <v/>
      </c>
      <c r="H382" s="4" t="inlineStr">
        <is>
          <t>calculation</t>
        </is>
      </c>
    </row>
    <row r="383">
      <c r="B383" s="4" t="inlineStr">
        <is>
          <t>Model</t>
        </is>
      </c>
      <c r="C383" s="8" t="inlineStr">
        <is>
          <t>br_compact_volume</t>
        </is>
      </c>
      <c r="D383" s="4" t="inlineStr">
        <is>
          <t>지점내방 준중형 판매대수</t>
        </is>
      </c>
      <c r="E383" s="4" t="inlineStr">
        <is>
          <t>2024</t>
        </is>
      </c>
      <c r="F383" s="8" t="inlineStr">
        <is>
          <t>J59</t>
        </is>
      </c>
      <c r="G383" s="4">
        <f>(J25*J58)</f>
        <v/>
      </c>
      <c r="H383" s="4" t="inlineStr">
        <is>
          <t>calculation</t>
        </is>
      </c>
    </row>
    <row r="384">
      <c r="B384" s="4" t="inlineStr">
        <is>
          <t>Model</t>
        </is>
      </c>
      <c r="C384" s="8" t="inlineStr">
        <is>
          <t>br_compact_volume</t>
        </is>
      </c>
      <c r="D384" s="4" t="inlineStr">
        <is>
          <t>지점내방 준중형 판매대수</t>
        </is>
      </c>
      <c r="E384" s="4" t="inlineStr">
        <is>
          <t>2025</t>
        </is>
      </c>
      <c r="F384" s="8" t="inlineStr">
        <is>
          <t>K59</t>
        </is>
      </c>
      <c r="G384" s="4">
        <f>(K25*K58)</f>
        <v/>
      </c>
      <c r="H384" s="4" t="inlineStr">
        <is>
          <t>calculation</t>
        </is>
      </c>
    </row>
    <row r="385">
      <c r="B385" s="4" t="inlineStr">
        <is>
          <t>Model</t>
        </is>
      </c>
      <c r="C385" s="8" t="inlineStr">
        <is>
          <t>br_compact_volume</t>
        </is>
      </c>
      <c r="D385" s="4" t="inlineStr">
        <is>
          <t>지점내방 준중형 판매대수</t>
        </is>
      </c>
      <c r="E385" s="4" t="inlineStr">
        <is>
          <t>2026</t>
        </is>
      </c>
      <c r="F385" s="8" t="inlineStr">
        <is>
          <t>L59</t>
        </is>
      </c>
      <c r="G385" s="4">
        <f>(L25*L58)</f>
        <v/>
      </c>
      <c r="H385" s="4" t="inlineStr">
        <is>
          <t>calculation</t>
        </is>
      </c>
    </row>
    <row r="386">
      <c r="B386" s="4" t="inlineStr">
        <is>
          <t>Model</t>
        </is>
      </c>
      <c r="C386" s="8" t="inlineStr">
        <is>
          <t>br_compact_volume</t>
        </is>
      </c>
      <c r="D386" s="4" t="inlineStr">
        <is>
          <t>지점내방 준중형 판매대수</t>
        </is>
      </c>
      <c r="E386" s="4" t="inlineStr">
        <is>
          <t>2027</t>
        </is>
      </c>
      <c r="F386" s="8" t="inlineStr">
        <is>
          <t>M59</t>
        </is>
      </c>
      <c r="G386" s="4">
        <f>(M25*M58)</f>
        <v/>
      </c>
      <c r="H386" s="4" t="inlineStr">
        <is>
          <t>calculation</t>
        </is>
      </c>
    </row>
    <row r="387">
      <c r="B387" s="4" t="inlineStr">
        <is>
          <t>Model</t>
        </is>
      </c>
      <c r="C387" s="8" t="inlineStr">
        <is>
          <t>br_compact_volume</t>
        </is>
      </c>
      <c r="D387" s="4" t="inlineStr">
        <is>
          <t>지점내방 준중형 판매대수</t>
        </is>
      </c>
      <c r="E387" s="4" t="inlineStr">
        <is>
          <t>2028</t>
        </is>
      </c>
      <c r="F387" s="8" t="inlineStr">
        <is>
          <t>N59</t>
        </is>
      </c>
      <c r="G387" s="4">
        <f>(N25*N58)</f>
        <v/>
      </c>
      <c r="H387" s="4" t="inlineStr">
        <is>
          <t>calculation</t>
        </is>
      </c>
    </row>
    <row r="388">
      <c r="B388" s="4" t="inlineStr">
        <is>
          <t>Model</t>
        </is>
      </c>
      <c r="C388" s="8" t="inlineStr">
        <is>
          <t>br_compact_volume</t>
        </is>
      </c>
      <c r="D388" s="4" t="inlineStr">
        <is>
          <t>지점내방 준중형 판매대수</t>
        </is>
      </c>
      <c r="E388" s="4" t="inlineStr">
        <is>
          <t>2029</t>
        </is>
      </c>
      <c r="F388" s="8" t="inlineStr">
        <is>
          <t>O59</t>
        </is>
      </c>
      <c r="G388" s="4">
        <f>(O25*O58)</f>
        <v/>
      </c>
      <c r="H388" s="4" t="inlineStr">
        <is>
          <t>calculation</t>
        </is>
      </c>
    </row>
    <row r="389">
      <c r="B389" s="4" t="inlineStr">
        <is>
          <t>Model</t>
        </is>
      </c>
      <c r="C389" s="8" t="inlineStr">
        <is>
          <t>br_compact_asp</t>
        </is>
      </c>
      <c r="D389" s="4" t="inlineStr">
        <is>
          <t>지점내방 준중형 ASP</t>
        </is>
      </c>
      <c r="E389" s="4" t="inlineStr">
        <is>
          <t>2023</t>
        </is>
      </c>
      <c r="F389" s="8" t="inlineStr">
        <is>
          <t>I60</t>
        </is>
      </c>
      <c r="G389" s="4">
        <f>'Assumptions'!I33</f>
        <v/>
      </c>
      <c r="H389" s="4" t="inlineStr">
        <is>
          <t>input link</t>
        </is>
      </c>
    </row>
    <row r="390">
      <c r="B390" s="4" t="inlineStr">
        <is>
          <t>Model</t>
        </is>
      </c>
      <c r="C390" s="8" t="inlineStr">
        <is>
          <t>br_compact_asp</t>
        </is>
      </c>
      <c r="D390" s="4" t="inlineStr">
        <is>
          <t>지점내방 준중형 ASP</t>
        </is>
      </c>
      <c r="E390" s="4" t="inlineStr">
        <is>
          <t>2024</t>
        </is>
      </c>
      <c r="F390" s="8" t="inlineStr">
        <is>
          <t>J60</t>
        </is>
      </c>
      <c r="G390" s="4">
        <f>'Assumptions'!J33</f>
        <v/>
      </c>
      <c r="H390" s="4" t="inlineStr">
        <is>
          <t>input link</t>
        </is>
      </c>
    </row>
    <row r="391">
      <c r="B391" s="4" t="inlineStr">
        <is>
          <t>Model</t>
        </is>
      </c>
      <c r="C391" s="8" t="inlineStr">
        <is>
          <t>br_compact_asp</t>
        </is>
      </c>
      <c r="D391" s="4" t="inlineStr">
        <is>
          <t>지점내방 준중형 ASP</t>
        </is>
      </c>
      <c r="E391" s="4" t="inlineStr">
        <is>
          <t>2025</t>
        </is>
      </c>
      <c r="F391" s="8" t="inlineStr">
        <is>
          <t>K60</t>
        </is>
      </c>
      <c r="G391" s="4">
        <f>'Assumptions'!K33</f>
        <v/>
      </c>
      <c r="H391" s="4" t="inlineStr">
        <is>
          <t>input link</t>
        </is>
      </c>
    </row>
    <row r="392">
      <c r="B392" s="4" t="inlineStr">
        <is>
          <t>Model</t>
        </is>
      </c>
      <c r="C392" s="8" t="inlineStr">
        <is>
          <t>br_compact_asp</t>
        </is>
      </c>
      <c r="D392" s="4" t="inlineStr">
        <is>
          <t>지점내방 준중형 ASP</t>
        </is>
      </c>
      <c r="E392" s="4" t="inlineStr">
        <is>
          <t>2026</t>
        </is>
      </c>
      <c r="F392" s="8" t="inlineStr">
        <is>
          <t>L60</t>
        </is>
      </c>
      <c r="G392" s="4">
        <f>'Assumptions'!L33</f>
        <v/>
      </c>
      <c r="H392" s="4" t="inlineStr">
        <is>
          <t>input link</t>
        </is>
      </c>
    </row>
    <row r="393">
      <c r="B393" s="4" t="inlineStr">
        <is>
          <t>Model</t>
        </is>
      </c>
      <c r="C393" s="8" t="inlineStr">
        <is>
          <t>br_compact_asp</t>
        </is>
      </c>
      <c r="D393" s="4" t="inlineStr">
        <is>
          <t>지점내방 준중형 ASP</t>
        </is>
      </c>
      <c r="E393" s="4" t="inlineStr">
        <is>
          <t>2027</t>
        </is>
      </c>
      <c r="F393" s="8" t="inlineStr">
        <is>
          <t>M60</t>
        </is>
      </c>
      <c r="G393" s="4">
        <f>'Assumptions'!M33</f>
        <v/>
      </c>
      <c r="H393" s="4" t="inlineStr">
        <is>
          <t>input link</t>
        </is>
      </c>
    </row>
    <row r="394">
      <c r="B394" s="4" t="inlineStr">
        <is>
          <t>Model</t>
        </is>
      </c>
      <c r="C394" s="8" t="inlineStr">
        <is>
          <t>br_compact_asp</t>
        </is>
      </c>
      <c r="D394" s="4" t="inlineStr">
        <is>
          <t>지점내방 준중형 ASP</t>
        </is>
      </c>
      <c r="E394" s="4" t="inlineStr">
        <is>
          <t>2028</t>
        </is>
      </c>
      <c r="F394" s="8" t="inlineStr">
        <is>
          <t>N60</t>
        </is>
      </c>
      <c r="G394" s="4">
        <f>'Assumptions'!N33</f>
        <v/>
      </c>
      <c r="H394" s="4" t="inlineStr">
        <is>
          <t>input link</t>
        </is>
      </c>
    </row>
    <row r="395">
      <c r="B395" s="4" t="inlineStr">
        <is>
          <t>Model</t>
        </is>
      </c>
      <c r="C395" s="8" t="inlineStr">
        <is>
          <t>br_compact_asp</t>
        </is>
      </c>
      <c r="D395" s="4" t="inlineStr">
        <is>
          <t>지점내방 준중형 ASP</t>
        </is>
      </c>
      <c r="E395" s="4" t="inlineStr">
        <is>
          <t>2029</t>
        </is>
      </c>
      <c r="F395" s="8" t="inlineStr">
        <is>
          <t>O60</t>
        </is>
      </c>
      <c r="G395" s="4">
        <f>'Assumptions'!O33</f>
        <v/>
      </c>
      <c r="H395" s="4" t="inlineStr">
        <is>
          <t>input link</t>
        </is>
      </c>
    </row>
    <row r="396">
      <c r="B396" s="4" t="inlineStr">
        <is>
          <t>Model</t>
        </is>
      </c>
      <c r="C396" s="8" t="inlineStr">
        <is>
          <t>br_small_rev</t>
        </is>
      </c>
      <c r="D396" s="4" t="inlineStr">
        <is>
          <t>지점내방 소형</t>
        </is>
      </c>
      <c r="E396" s="4" t="inlineStr">
        <is>
          <t>2023</t>
        </is>
      </c>
      <c r="F396" s="8" t="inlineStr">
        <is>
          <t>I61</t>
        </is>
      </c>
      <c r="G396" s="4">
        <f>(I63*I64)</f>
        <v/>
      </c>
      <c r="H396" s="4" t="inlineStr">
        <is>
          <t>calculation</t>
        </is>
      </c>
    </row>
    <row r="397">
      <c r="B397" s="4" t="inlineStr">
        <is>
          <t>Model</t>
        </is>
      </c>
      <c r="C397" s="8" t="inlineStr">
        <is>
          <t>br_small_rev</t>
        </is>
      </c>
      <c r="D397" s="4" t="inlineStr">
        <is>
          <t>지점내방 소형</t>
        </is>
      </c>
      <c r="E397" s="4" t="inlineStr">
        <is>
          <t>2024</t>
        </is>
      </c>
      <c r="F397" s="8" t="inlineStr">
        <is>
          <t>J61</t>
        </is>
      </c>
      <c r="G397" s="4">
        <f>(J63*J64)</f>
        <v/>
      </c>
      <c r="H397" s="4" t="inlineStr">
        <is>
          <t>calculation</t>
        </is>
      </c>
    </row>
    <row r="398">
      <c r="B398" s="4" t="inlineStr">
        <is>
          <t>Model</t>
        </is>
      </c>
      <c r="C398" s="8" t="inlineStr">
        <is>
          <t>br_small_rev</t>
        </is>
      </c>
      <c r="D398" s="4" t="inlineStr">
        <is>
          <t>지점내방 소형</t>
        </is>
      </c>
      <c r="E398" s="4" t="inlineStr">
        <is>
          <t>2025</t>
        </is>
      </c>
      <c r="F398" s="8" t="inlineStr">
        <is>
          <t>K61</t>
        </is>
      </c>
      <c r="G398" s="4">
        <f>(K63*K64)</f>
        <v/>
      </c>
      <c r="H398" s="4" t="inlineStr">
        <is>
          <t>calculation</t>
        </is>
      </c>
    </row>
    <row r="399">
      <c r="B399" s="4" t="inlineStr">
        <is>
          <t>Model</t>
        </is>
      </c>
      <c r="C399" s="8" t="inlineStr">
        <is>
          <t>br_small_rev</t>
        </is>
      </c>
      <c r="D399" s="4" t="inlineStr">
        <is>
          <t>지점내방 소형</t>
        </is>
      </c>
      <c r="E399" s="4" t="inlineStr">
        <is>
          <t>2026</t>
        </is>
      </c>
      <c r="F399" s="8" t="inlineStr">
        <is>
          <t>L61</t>
        </is>
      </c>
      <c r="G399" s="4">
        <f>(L63*L64)</f>
        <v/>
      </c>
      <c r="H399" s="4" t="inlineStr">
        <is>
          <t>calculation</t>
        </is>
      </c>
    </row>
    <row r="400">
      <c r="B400" s="4" t="inlineStr">
        <is>
          <t>Model</t>
        </is>
      </c>
      <c r="C400" s="8" t="inlineStr">
        <is>
          <t>br_small_rev</t>
        </is>
      </c>
      <c r="D400" s="4" t="inlineStr">
        <is>
          <t>지점내방 소형</t>
        </is>
      </c>
      <c r="E400" s="4" t="inlineStr">
        <is>
          <t>2027</t>
        </is>
      </c>
      <c r="F400" s="8" t="inlineStr">
        <is>
          <t>M61</t>
        </is>
      </c>
      <c r="G400" s="4">
        <f>(M63*M64)</f>
        <v/>
      </c>
      <c r="H400" s="4" t="inlineStr">
        <is>
          <t>calculation</t>
        </is>
      </c>
    </row>
    <row r="401">
      <c r="B401" s="4" t="inlineStr">
        <is>
          <t>Model</t>
        </is>
      </c>
      <c r="C401" s="8" t="inlineStr">
        <is>
          <t>br_small_rev</t>
        </is>
      </c>
      <c r="D401" s="4" t="inlineStr">
        <is>
          <t>지점내방 소형</t>
        </is>
      </c>
      <c r="E401" s="4" t="inlineStr">
        <is>
          <t>2028</t>
        </is>
      </c>
      <c r="F401" s="8" t="inlineStr">
        <is>
          <t>N61</t>
        </is>
      </c>
      <c r="G401" s="4">
        <f>(N63*N64)</f>
        <v/>
      </c>
      <c r="H401" s="4" t="inlineStr">
        <is>
          <t>calculation</t>
        </is>
      </c>
    </row>
    <row r="402">
      <c r="B402" s="4" t="inlineStr">
        <is>
          <t>Model</t>
        </is>
      </c>
      <c r="C402" s="8" t="inlineStr">
        <is>
          <t>br_small_rev</t>
        </is>
      </c>
      <c r="D402" s="4" t="inlineStr">
        <is>
          <t>지점내방 소형</t>
        </is>
      </c>
      <c r="E402" s="4" t="inlineStr">
        <is>
          <t>2029</t>
        </is>
      </c>
      <c r="F402" s="8" t="inlineStr">
        <is>
          <t>O61</t>
        </is>
      </c>
      <c r="G402" s="4">
        <f>(O63*O64)</f>
        <v/>
      </c>
      <c r="H402" s="4" t="inlineStr">
        <is>
          <t>calculation</t>
        </is>
      </c>
    </row>
    <row r="403">
      <c r="B403" s="4" t="inlineStr">
        <is>
          <t>Model</t>
        </is>
      </c>
      <c r="C403" s="8" t="inlineStr">
        <is>
          <t>br_small_share</t>
        </is>
      </c>
      <c r="D403" s="4" t="inlineStr">
        <is>
          <t>지점내방 소형 점유율</t>
        </is>
      </c>
      <c r="E403" s="4" t="inlineStr">
        <is>
          <t>2023</t>
        </is>
      </c>
      <c r="F403" s="8" t="inlineStr">
        <is>
          <t>I62</t>
        </is>
      </c>
      <c r="G403" s="4">
        <f>'Assumptions'!I34</f>
        <v/>
      </c>
      <c r="H403" s="4" t="inlineStr">
        <is>
          <t>input link</t>
        </is>
      </c>
    </row>
    <row r="404">
      <c r="B404" s="4" t="inlineStr">
        <is>
          <t>Model</t>
        </is>
      </c>
      <c r="C404" s="8" t="inlineStr">
        <is>
          <t>br_small_share</t>
        </is>
      </c>
      <c r="D404" s="4" t="inlineStr">
        <is>
          <t>지점내방 소형 점유율</t>
        </is>
      </c>
      <c r="E404" s="4" t="inlineStr">
        <is>
          <t>2024</t>
        </is>
      </c>
      <c r="F404" s="8" t="inlineStr">
        <is>
          <t>J62</t>
        </is>
      </c>
      <c r="G404" s="4">
        <f>'Assumptions'!J34</f>
        <v/>
      </c>
      <c r="H404" s="4" t="inlineStr">
        <is>
          <t>input link</t>
        </is>
      </c>
    </row>
    <row r="405">
      <c r="B405" s="4" t="inlineStr">
        <is>
          <t>Model</t>
        </is>
      </c>
      <c r="C405" s="8" t="inlineStr">
        <is>
          <t>br_small_share</t>
        </is>
      </c>
      <c r="D405" s="4" t="inlineStr">
        <is>
          <t>지점내방 소형 점유율</t>
        </is>
      </c>
      <c r="E405" s="4" t="inlineStr">
        <is>
          <t>2025</t>
        </is>
      </c>
      <c r="F405" s="8" t="inlineStr">
        <is>
          <t>K62</t>
        </is>
      </c>
      <c r="G405" s="4">
        <f>'Assumptions'!K34</f>
        <v/>
      </c>
      <c r="H405" s="4" t="inlineStr">
        <is>
          <t>input link</t>
        </is>
      </c>
    </row>
    <row r="406">
      <c r="B406" s="4" t="inlineStr">
        <is>
          <t>Model</t>
        </is>
      </c>
      <c r="C406" s="8" t="inlineStr">
        <is>
          <t>br_small_share</t>
        </is>
      </c>
      <c r="D406" s="4" t="inlineStr">
        <is>
          <t>지점내방 소형 점유율</t>
        </is>
      </c>
      <c r="E406" s="4" t="inlineStr">
        <is>
          <t>2026</t>
        </is>
      </c>
      <c r="F406" s="8" t="inlineStr">
        <is>
          <t>L62</t>
        </is>
      </c>
      <c r="G406" s="4">
        <f>'Assumptions'!L34</f>
        <v/>
      </c>
      <c r="H406" s="4" t="inlineStr">
        <is>
          <t>input link</t>
        </is>
      </c>
    </row>
    <row r="407">
      <c r="B407" s="4" t="inlineStr">
        <is>
          <t>Model</t>
        </is>
      </c>
      <c r="C407" s="8" t="inlineStr">
        <is>
          <t>br_small_share</t>
        </is>
      </c>
      <c r="D407" s="4" t="inlineStr">
        <is>
          <t>지점내방 소형 점유율</t>
        </is>
      </c>
      <c r="E407" s="4" t="inlineStr">
        <is>
          <t>2027</t>
        </is>
      </c>
      <c r="F407" s="8" t="inlineStr">
        <is>
          <t>M62</t>
        </is>
      </c>
      <c r="G407" s="4">
        <f>'Assumptions'!M34</f>
        <v/>
      </c>
      <c r="H407" s="4" t="inlineStr">
        <is>
          <t>input link</t>
        </is>
      </c>
    </row>
    <row r="408">
      <c r="B408" s="4" t="inlineStr">
        <is>
          <t>Model</t>
        </is>
      </c>
      <c r="C408" s="8" t="inlineStr">
        <is>
          <t>br_small_share</t>
        </is>
      </c>
      <c r="D408" s="4" t="inlineStr">
        <is>
          <t>지점내방 소형 점유율</t>
        </is>
      </c>
      <c r="E408" s="4" t="inlineStr">
        <is>
          <t>2028</t>
        </is>
      </c>
      <c r="F408" s="8" t="inlineStr">
        <is>
          <t>N62</t>
        </is>
      </c>
      <c r="G408" s="4">
        <f>'Assumptions'!N34</f>
        <v/>
      </c>
      <c r="H408" s="4" t="inlineStr">
        <is>
          <t>input link</t>
        </is>
      </c>
    </row>
    <row r="409">
      <c r="B409" s="4" t="inlineStr">
        <is>
          <t>Model</t>
        </is>
      </c>
      <c r="C409" s="8" t="inlineStr">
        <is>
          <t>br_small_share</t>
        </is>
      </c>
      <c r="D409" s="4" t="inlineStr">
        <is>
          <t>지점내방 소형 점유율</t>
        </is>
      </c>
      <c r="E409" s="4" t="inlineStr">
        <is>
          <t>2029</t>
        </is>
      </c>
      <c r="F409" s="8" t="inlineStr">
        <is>
          <t>O62</t>
        </is>
      </c>
      <c r="G409" s="4">
        <f>'Assumptions'!O34</f>
        <v/>
      </c>
      <c r="H409" s="4" t="inlineStr">
        <is>
          <t>input link</t>
        </is>
      </c>
    </row>
    <row r="410">
      <c r="B410" s="4" t="inlineStr">
        <is>
          <t>Model</t>
        </is>
      </c>
      <c r="C410" s="8" t="inlineStr">
        <is>
          <t>br_small_volume</t>
        </is>
      </c>
      <c r="D410" s="4" t="inlineStr">
        <is>
          <t>지점내방 소형 판매대수</t>
        </is>
      </c>
      <c r="E410" s="4" t="inlineStr">
        <is>
          <t>2023</t>
        </is>
      </c>
      <c r="F410" s="8" t="inlineStr">
        <is>
          <t>I63</t>
        </is>
      </c>
      <c r="G410" s="4">
        <f>(I30*I62)</f>
        <v/>
      </c>
      <c r="H410" s="4" t="inlineStr">
        <is>
          <t>calculation</t>
        </is>
      </c>
    </row>
    <row r="411">
      <c r="B411" s="4" t="inlineStr">
        <is>
          <t>Model</t>
        </is>
      </c>
      <c r="C411" s="8" t="inlineStr">
        <is>
          <t>br_small_volume</t>
        </is>
      </c>
      <c r="D411" s="4" t="inlineStr">
        <is>
          <t>지점내방 소형 판매대수</t>
        </is>
      </c>
      <c r="E411" s="4" t="inlineStr">
        <is>
          <t>2024</t>
        </is>
      </c>
      <c r="F411" s="8" t="inlineStr">
        <is>
          <t>J63</t>
        </is>
      </c>
      <c r="G411" s="4">
        <f>(J30*J62)</f>
        <v/>
      </c>
      <c r="H411" s="4" t="inlineStr">
        <is>
          <t>calculation</t>
        </is>
      </c>
    </row>
    <row r="412">
      <c r="B412" s="4" t="inlineStr">
        <is>
          <t>Model</t>
        </is>
      </c>
      <c r="C412" s="8" t="inlineStr">
        <is>
          <t>br_small_volume</t>
        </is>
      </c>
      <c r="D412" s="4" t="inlineStr">
        <is>
          <t>지점내방 소형 판매대수</t>
        </is>
      </c>
      <c r="E412" s="4" t="inlineStr">
        <is>
          <t>2025</t>
        </is>
      </c>
      <c r="F412" s="8" t="inlineStr">
        <is>
          <t>K63</t>
        </is>
      </c>
      <c r="G412" s="4">
        <f>(K30*K62)</f>
        <v/>
      </c>
      <c r="H412" s="4" t="inlineStr">
        <is>
          <t>calculation</t>
        </is>
      </c>
    </row>
    <row r="413">
      <c r="B413" s="4" t="inlineStr">
        <is>
          <t>Model</t>
        </is>
      </c>
      <c r="C413" s="8" t="inlineStr">
        <is>
          <t>br_small_volume</t>
        </is>
      </c>
      <c r="D413" s="4" t="inlineStr">
        <is>
          <t>지점내방 소형 판매대수</t>
        </is>
      </c>
      <c r="E413" s="4" t="inlineStr">
        <is>
          <t>2026</t>
        </is>
      </c>
      <c r="F413" s="8" t="inlineStr">
        <is>
          <t>L63</t>
        </is>
      </c>
      <c r="G413" s="4">
        <f>(L30*L62)</f>
        <v/>
      </c>
      <c r="H413" s="4" t="inlineStr">
        <is>
          <t>calculation</t>
        </is>
      </c>
    </row>
    <row r="414">
      <c r="B414" s="4" t="inlineStr">
        <is>
          <t>Model</t>
        </is>
      </c>
      <c r="C414" s="8" t="inlineStr">
        <is>
          <t>br_small_volume</t>
        </is>
      </c>
      <c r="D414" s="4" t="inlineStr">
        <is>
          <t>지점내방 소형 판매대수</t>
        </is>
      </c>
      <c r="E414" s="4" t="inlineStr">
        <is>
          <t>2027</t>
        </is>
      </c>
      <c r="F414" s="8" t="inlineStr">
        <is>
          <t>M63</t>
        </is>
      </c>
      <c r="G414" s="4">
        <f>(M30*M62)</f>
        <v/>
      </c>
      <c r="H414" s="4" t="inlineStr">
        <is>
          <t>calculation</t>
        </is>
      </c>
    </row>
    <row r="415">
      <c r="B415" s="4" t="inlineStr">
        <is>
          <t>Model</t>
        </is>
      </c>
      <c r="C415" s="8" t="inlineStr">
        <is>
          <t>br_small_volume</t>
        </is>
      </c>
      <c r="D415" s="4" t="inlineStr">
        <is>
          <t>지점내방 소형 판매대수</t>
        </is>
      </c>
      <c r="E415" s="4" t="inlineStr">
        <is>
          <t>2028</t>
        </is>
      </c>
      <c r="F415" s="8" t="inlineStr">
        <is>
          <t>N63</t>
        </is>
      </c>
      <c r="G415" s="4">
        <f>(N30*N62)</f>
        <v/>
      </c>
      <c r="H415" s="4" t="inlineStr">
        <is>
          <t>calculation</t>
        </is>
      </c>
    </row>
    <row r="416">
      <c r="B416" s="4" t="inlineStr">
        <is>
          <t>Model</t>
        </is>
      </c>
      <c r="C416" s="8" t="inlineStr">
        <is>
          <t>br_small_volume</t>
        </is>
      </c>
      <c r="D416" s="4" t="inlineStr">
        <is>
          <t>지점내방 소형 판매대수</t>
        </is>
      </c>
      <c r="E416" s="4" t="inlineStr">
        <is>
          <t>2029</t>
        </is>
      </c>
      <c r="F416" s="8" t="inlineStr">
        <is>
          <t>O63</t>
        </is>
      </c>
      <c r="G416" s="4">
        <f>(O30*O62)</f>
        <v/>
      </c>
      <c r="H416" s="4" t="inlineStr">
        <is>
          <t>calculation</t>
        </is>
      </c>
    </row>
    <row r="417">
      <c r="B417" s="4" t="inlineStr">
        <is>
          <t>Model</t>
        </is>
      </c>
      <c r="C417" s="8" t="inlineStr">
        <is>
          <t>br_small_asp</t>
        </is>
      </c>
      <c r="D417" s="4" t="inlineStr">
        <is>
          <t>지점내방 소형 ASP</t>
        </is>
      </c>
      <c r="E417" s="4" t="inlineStr">
        <is>
          <t>2023</t>
        </is>
      </c>
      <c r="F417" s="8" t="inlineStr">
        <is>
          <t>I64</t>
        </is>
      </c>
      <c r="G417" s="4">
        <f>'Assumptions'!I35</f>
        <v/>
      </c>
      <c r="H417" s="4" t="inlineStr">
        <is>
          <t>input link</t>
        </is>
      </c>
    </row>
    <row r="418">
      <c r="B418" s="4" t="inlineStr">
        <is>
          <t>Model</t>
        </is>
      </c>
      <c r="C418" s="8" t="inlineStr">
        <is>
          <t>br_small_asp</t>
        </is>
      </c>
      <c r="D418" s="4" t="inlineStr">
        <is>
          <t>지점내방 소형 ASP</t>
        </is>
      </c>
      <c r="E418" s="4" t="inlineStr">
        <is>
          <t>2024</t>
        </is>
      </c>
      <c r="F418" s="8" t="inlineStr">
        <is>
          <t>J64</t>
        </is>
      </c>
      <c r="G418" s="4">
        <f>'Assumptions'!J35</f>
        <v/>
      </c>
      <c r="H418" s="4" t="inlineStr">
        <is>
          <t>input link</t>
        </is>
      </c>
    </row>
    <row r="419">
      <c r="B419" s="4" t="inlineStr">
        <is>
          <t>Model</t>
        </is>
      </c>
      <c r="C419" s="8" t="inlineStr">
        <is>
          <t>br_small_asp</t>
        </is>
      </c>
      <c r="D419" s="4" t="inlineStr">
        <is>
          <t>지점내방 소형 ASP</t>
        </is>
      </c>
      <c r="E419" s="4" t="inlineStr">
        <is>
          <t>2025</t>
        </is>
      </c>
      <c r="F419" s="8" t="inlineStr">
        <is>
          <t>K64</t>
        </is>
      </c>
      <c r="G419" s="4">
        <f>'Assumptions'!K35</f>
        <v/>
      </c>
      <c r="H419" s="4" t="inlineStr">
        <is>
          <t>input link</t>
        </is>
      </c>
    </row>
    <row r="420">
      <c r="B420" s="4" t="inlineStr">
        <is>
          <t>Model</t>
        </is>
      </c>
      <c r="C420" s="8" t="inlineStr">
        <is>
          <t>br_small_asp</t>
        </is>
      </c>
      <c r="D420" s="4" t="inlineStr">
        <is>
          <t>지점내방 소형 ASP</t>
        </is>
      </c>
      <c r="E420" s="4" t="inlineStr">
        <is>
          <t>2026</t>
        </is>
      </c>
      <c r="F420" s="8" t="inlineStr">
        <is>
          <t>L64</t>
        </is>
      </c>
      <c r="G420" s="4">
        <f>'Assumptions'!L35</f>
        <v/>
      </c>
      <c r="H420" s="4" t="inlineStr">
        <is>
          <t>input link</t>
        </is>
      </c>
    </row>
    <row r="421">
      <c r="B421" s="4" t="inlineStr">
        <is>
          <t>Model</t>
        </is>
      </c>
      <c r="C421" s="8" t="inlineStr">
        <is>
          <t>br_small_asp</t>
        </is>
      </c>
      <c r="D421" s="4" t="inlineStr">
        <is>
          <t>지점내방 소형 ASP</t>
        </is>
      </c>
      <c r="E421" s="4" t="inlineStr">
        <is>
          <t>2027</t>
        </is>
      </c>
      <c r="F421" s="8" t="inlineStr">
        <is>
          <t>M64</t>
        </is>
      </c>
      <c r="G421" s="4">
        <f>'Assumptions'!M35</f>
        <v/>
      </c>
      <c r="H421" s="4" t="inlineStr">
        <is>
          <t>input link</t>
        </is>
      </c>
    </row>
    <row r="422">
      <c r="B422" s="4" t="inlineStr">
        <is>
          <t>Model</t>
        </is>
      </c>
      <c r="C422" s="8" t="inlineStr">
        <is>
          <t>br_small_asp</t>
        </is>
      </c>
      <c r="D422" s="4" t="inlineStr">
        <is>
          <t>지점내방 소형 ASP</t>
        </is>
      </c>
      <c r="E422" s="4" t="inlineStr">
        <is>
          <t>2028</t>
        </is>
      </c>
      <c r="F422" s="8" t="inlineStr">
        <is>
          <t>N64</t>
        </is>
      </c>
      <c r="G422" s="4">
        <f>'Assumptions'!N35</f>
        <v/>
      </c>
      <c r="H422" s="4" t="inlineStr">
        <is>
          <t>input link</t>
        </is>
      </c>
    </row>
    <row r="423">
      <c r="B423" s="4" t="inlineStr">
        <is>
          <t>Model</t>
        </is>
      </c>
      <c r="C423" s="8" t="inlineStr">
        <is>
          <t>br_small_asp</t>
        </is>
      </c>
      <c r="D423" s="4" t="inlineStr">
        <is>
          <t>지점내방 소형 ASP</t>
        </is>
      </c>
      <c r="E423" s="4" t="inlineStr">
        <is>
          <t>2029</t>
        </is>
      </c>
      <c r="F423" s="8" t="inlineStr">
        <is>
          <t>O64</t>
        </is>
      </c>
      <c r="G423" s="4">
        <f>'Assumptions'!O35</f>
        <v/>
      </c>
      <c r="H423" s="4" t="inlineStr">
        <is>
          <t>input link</t>
        </is>
      </c>
    </row>
    <row r="424">
      <c r="B424" s="4" t="inlineStr">
        <is>
          <t>Model</t>
        </is>
      </c>
      <c r="C424" s="8" t="inlineStr">
        <is>
          <t>br_truck_rev</t>
        </is>
      </c>
      <c r="D424" s="4" t="inlineStr">
        <is>
          <t>지점내방 화물차</t>
        </is>
      </c>
      <c r="E424" s="4" t="inlineStr">
        <is>
          <t>2023</t>
        </is>
      </c>
      <c r="F424" s="8" t="inlineStr">
        <is>
          <t>I65</t>
        </is>
      </c>
      <c r="G424" s="4">
        <f>(I67*I68)</f>
        <v/>
      </c>
      <c r="H424" s="4" t="inlineStr">
        <is>
          <t>calculation</t>
        </is>
      </c>
    </row>
    <row r="425">
      <c r="B425" s="4" t="inlineStr">
        <is>
          <t>Model</t>
        </is>
      </c>
      <c r="C425" s="8" t="inlineStr">
        <is>
          <t>br_truck_rev</t>
        </is>
      </c>
      <c r="D425" s="4" t="inlineStr">
        <is>
          <t>지점내방 화물차</t>
        </is>
      </c>
      <c r="E425" s="4" t="inlineStr">
        <is>
          <t>2024</t>
        </is>
      </c>
      <c r="F425" s="8" t="inlineStr">
        <is>
          <t>J65</t>
        </is>
      </c>
      <c r="G425" s="4">
        <f>(J67*J68)</f>
        <v/>
      </c>
      <c r="H425" s="4" t="inlineStr">
        <is>
          <t>calculation</t>
        </is>
      </c>
    </row>
    <row r="426">
      <c r="B426" s="4" t="inlineStr">
        <is>
          <t>Model</t>
        </is>
      </c>
      <c r="C426" s="8" t="inlineStr">
        <is>
          <t>br_truck_rev</t>
        </is>
      </c>
      <c r="D426" s="4" t="inlineStr">
        <is>
          <t>지점내방 화물차</t>
        </is>
      </c>
      <c r="E426" s="4" t="inlineStr">
        <is>
          <t>2025</t>
        </is>
      </c>
      <c r="F426" s="8" t="inlineStr">
        <is>
          <t>K65</t>
        </is>
      </c>
      <c r="G426" s="4">
        <f>(K67*K68)</f>
        <v/>
      </c>
      <c r="H426" s="4" t="inlineStr">
        <is>
          <t>calculation</t>
        </is>
      </c>
    </row>
    <row r="427">
      <c r="B427" s="4" t="inlineStr">
        <is>
          <t>Model</t>
        </is>
      </c>
      <c r="C427" s="8" t="inlineStr">
        <is>
          <t>br_truck_rev</t>
        </is>
      </c>
      <c r="D427" s="4" t="inlineStr">
        <is>
          <t>지점내방 화물차</t>
        </is>
      </c>
      <c r="E427" s="4" t="inlineStr">
        <is>
          <t>2026</t>
        </is>
      </c>
      <c r="F427" s="8" t="inlineStr">
        <is>
          <t>L65</t>
        </is>
      </c>
      <c r="G427" s="4">
        <f>(L67*L68)</f>
        <v/>
      </c>
      <c r="H427" s="4" t="inlineStr">
        <is>
          <t>calculation</t>
        </is>
      </c>
    </row>
    <row r="428">
      <c r="B428" s="4" t="inlineStr">
        <is>
          <t>Model</t>
        </is>
      </c>
      <c r="C428" s="8" t="inlineStr">
        <is>
          <t>br_truck_rev</t>
        </is>
      </c>
      <c r="D428" s="4" t="inlineStr">
        <is>
          <t>지점내방 화물차</t>
        </is>
      </c>
      <c r="E428" s="4" t="inlineStr">
        <is>
          <t>2027</t>
        </is>
      </c>
      <c r="F428" s="8" t="inlineStr">
        <is>
          <t>M65</t>
        </is>
      </c>
      <c r="G428" s="4">
        <f>(M67*M68)</f>
        <v/>
      </c>
      <c r="H428" s="4" t="inlineStr">
        <is>
          <t>calculation</t>
        </is>
      </c>
    </row>
    <row r="429">
      <c r="B429" s="4" t="inlineStr">
        <is>
          <t>Model</t>
        </is>
      </c>
      <c r="C429" s="8" t="inlineStr">
        <is>
          <t>br_truck_rev</t>
        </is>
      </c>
      <c r="D429" s="4" t="inlineStr">
        <is>
          <t>지점내방 화물차</t>
        </is>
      </c>
      <c r="E429" s="4" t="inlineStr">
        <is>
          <t>2028</t>
        </is>
      </c>
      <c r="F429" s="8" t="inlineStr">
        <is>
          <t>N65</t>
        </is>
      </c>
      <c r="G429" s="4">
        <f>(N67*N68)</f>
        <v/>
      </c>
      <c r="H429" s="4" t="inlineStr">
        <is>
          <t>calculation</t>
        </is>
      </c>
    </row>
    <row r="430">
      <c r="B430" s="4" t="inlineStr">
        <is>
          <t>Model</t>
        </is>
      </c>
      <c r="C430" s="8" t="inlineStr">
        <is>
          <t>br_truck_rev</t>
        </is>
      </c>
      <c r="D430" s="4" t="inlineStr">
        <is>
          <t>지점내방 화물차</t>
        </is>
      </c>
      <c r="E430" s="4" t="inlineStr">
        <is>
          <t>2029</t>
        </is>
      </c>
      <c r="F430" s="8" t="inlineStr">
        <is>
          <t>O65</t>
        </is>
      </c>
      <c r="G430" s="4">
        <f>(O67*O68)</f>
        <v/>
      </c>
      <c r="H430" s="4" t="inlineStr">
        <is>
          <t>calculation</t>
        </is>
      </c>
    </row>
    <row r="431">
      <c r="B431" s="4" t="inlineStr">
        <is>
          <t>Model</t>
        </is>
      </c>
      <c r="C431" s="8" t="inlineStr">
        <is>
          <t>br_truck_share</t>
        </is>
      </c>
      <c r="D431" s="4" t="inlineStr">
        <is>
          <t>지점내방 화물차 점유율</t>
        </is>
      </c>
      <c r="E431" s="4" t="inlineStr">
        <is>
          <t>2023</t>
        </is>
      </c>
      <c r="F431" s="8" t="inlineStr">
        <is>
          <t>I66</t>
        </is>
      </c>
      <c r="G431" s="4">
        <f>'Assumptions'!I36</f>
        <v/>
      </c>
      <c r="H431" s="4" t="inlineStr">
        <is>
          <t>input link</t>
        </is>
      </c>
    </row>
    <row r="432">
      <c r="B432" s="4" t="inlineStr">
        <is>
          <t>Model</t>
        </is>
      </c>
      <c r="C432" s="8" t="inlineStr">
        <is>
          <t>br_truck_share</t>
        </is>
      </c>
      <c r="D432" s="4" t="inlineStr">
        <is>
          <t>지점내방 화물차 점유율</t>
        </is>
      </c>
      <c r="E432" s="4" t="inlineStr">
        <is>
          <t>2024</t>
        </is>
      </c>
      <c r="F432" s="8" t="inlineStr">
        <is>
          <t>J66</t>
        </is>
      </c>
      <c r="G432" s="4">
        <f>'Assumptions'!J36</f>
        <v/>
      </c>
      <c r="H432" s="4" t="inlineStr">
        <is>
          <t>input link</t>
        </is>
      </c>
    </row>
    <row r="433">
      <c r="B433" s="4" t="inlineStr">
        <is>
          <t>Model</t>
        </is>
      </c>
      <c r="C433" s="8" t="inlineStr">
        <is>
          <t>br_truck_share</t>
        </is>
      </c>
      <c r="D433" s="4" t="inlineStr">
        <is>
          <t>지점내방 화물차 점유율</t>
        </is>
      </c>
      <c r="E433" s="4" t="inlineStr">
        <is>
          <t>2025</t>
        </is>
      </c>
      <c r="F433" s="8" t="inlineStr">
        <is>
          <t>K66</t>
        </is>
      </c>
      <c r="G433" s="4">
        <f>'Assumptions'!K36</f>
        <v/>
      </c>
      <c r="H433" s="4" t="inlineStr">
        <is>
          <t>input link</t>
        </is>
      </c>
    </row>
    <row r="434">
      <c r="B434" s="4" t="inlineStr">
        <is>
          <t>Model</t>
        </is>
      </c>
      <c r="C434" s="8" t="inlineStr">
        <is>
          <t>br_truck_share</t>
        </is>
      </c>
      <c r="D434" s="4" t="inlineStr">
        <is>
          <t>지점내방 화물차 점유율</t>
        </is>
      </c>
      <c r="E434" s="4" t="inlineStr">
        <is>
          <t>2026</t>
        </is>
      </c>
      <c r="F434" s="8" t="inlineStr">
        <is>
          <t>L66</t>
        </is>
      </c>
      <c r="G434" s="4">
        <f>'Assumptions'!L36</f>
        <v/>
      </c>
      <c r="H434" s="4" t="inlineStr">
        <is>
          <t>input link</t>
        </is>
      </c>
    </row>
    <row r="435">
      <c r="B435" s="4" t="inlineStr">
        <is>
          <t>Model</t>
        </is>
      </c>
      <c r="C435" s="8" t="inlineStr">
        <is>
          <t>br_truck_share</t>
        </is>
      </c>
      <c r="D435" s="4" t="inlineStr">
        <is>
          <t>지점내방 화물차 점유율</t>
        </is>
      </c>
      <c r="E435" s="4" t="inlineStr">
        <is>
          <t>2027</t>
        </is>
      </c>
      <c r="F435" s="8" t="inlineStr">
        <is>
          <t>M66</t>
        </is>
      </c>
      <c r="G435" s="4">
        <f>'Assumptions'!M36</f>
        <v/>
      </c>
      <c r="H435" s="4" t="inlineStr">
        <is>
          <t>input link</t>
        </is>
      </c>
    </row>
    <row r="436">
      <c r="B436" s="4" t="inlineStr">
        <is>
          <t>Model</t>
        </is>
      </c>
      <c r="C436" s="8" t="inlineStr">
        <is>
          <t>br_truck_share</t>
        </is>
      </c>
      <c r="D436" s="4" t="inlineStr">
        <is>
          <t>지점내방 화물차 점유율</t>
        </is>
      </c>
      <c r="E436" s="4" t="inlineStr">
        <is>
          <t>2028</t>
        </is>
      </c>
      <c r="F436" s="8" t="inlineStr">
        <is>
          <t>N66</t>
        </is>
      </c>
      <c r="G436" s="4">
        <f>'Assumptions'!N36</f>
        <v/>
      </c>
      <c r="H436" s="4" t="inlineStr">
        <is>
          <t>input link</t>
        </is>
      </c>
    </row>
    <row r="437">
      <c r="B437" s="4" t="inlineStr">
        <is>
          <t>Model</t>
        </is>
      </c>
      <c r="C437" s="8" t="inlineStr">
        <is>
          <t>br_truck_share</t>
        </is>
      </c>
      <c r="D437" s="4" t="inlineStr">
        <is>
          <t>지점내방 화물차 점유율</t>
        </is>
      </c>
      <c r="E437" s="4" t="inlineStr">
        <is>
          <t>2029</t>
        </is>
      </c>
      <c r="F437" s="8" t="inlineStr">
        <is>
          <t>O66</t>
        </is>
      </c>
      <c r="G437" s="4">
        <f>'Assumptions'!O36</f>
        <v/>
      </c>
      <c r="H437" s="4" t="inlineStr">
        <is>
          <t>input link</t>
        </is>
      </c>
    </row>
    <row r="438">
      <c r="B438" s="4" t="inlineStr">
        <is>
          <t>Model</t>
        </is>
      </c>
      <c r="C438" s="8" t="inlineStr">
        <is>
          <t>br_truck_volume</t>
        </is>
      </c>
      <c r="D438" s="4" t="inlineStr">
        <is>
          <t>지점내방 화물차 판매대수</t>
        </is>
      </c>
      <c r="E438" s="4" t="inlineStr">
        <is>
          <t>2023</t>
        </is>
      </c>
      <c r="F438" s="8" t="inlineStr">
        <is>
          <t>I67</t>
        </is>
      </c>
      <c r="G438" s="4">
        <f>(I35*I66)</f>
        <v/>
      </c>
      <c r="H438" s="4" t="inlineStr">
        <is>
          <t>calculation</t>
        </is>
      </c>
    </row>
    <row r="439">
      <c r="B439" s="4" t="inlineStr">
        <is>
          <t>Model</t>
        </is>
      </c>
      <c r="C439" s="8" t="inlineStr">
        <is>
          <t>br_truck_volume</t>
        </is>
      </c>
      <c r="D439" s="4" t="inlineStr">
        <is>
          <t>지점내방 화물차 판매대수</t>
        </is>
      </c>
      <c r="E439" s="4" t="inlineStr">
        <is>
          <t>2024</t>
        </is>
      </c>
      <c r="F439" s="8" t="inlineStr">
        <is>
          <t>J67</t>
        </is>
      </c>
      <c r="G439" s="4">
        <f>(J35*J66)</f>
        <v/>
      </c>
      <c r="H439" s="4" t="inlineStr">
        <is>
          <t>calculation</t>
        </is>
      </c>
    </row>
    <row r="440">
      <c r="B440" s="4" t="inlineStr">
        <is>
          <t>Model</t>
        </is>
      </c>
      <c r="C440" s="8" t="inlineStr">
        <is>
          <t>br_truck_volume</t>
        </is>
      </c>
      <c r="D440" s="4" t="inlineStr">
        <is>
          <t>지점내방 화물차 판매대수</t>
        </is>
      </c>
      <c r="E440" s="4" t="inlineStr">
        <is>
          <t>2025</t>
        </is>
      </c>
      <c r="F440" s="8" t="inlineStr">
        <is>
          <t>K67</t>
        </is>
      </c>
      <c r="G440" s="4">
        <f>(K35*K66)</f>
        <v/>
      </c>
      <c r="H440" s="4" t="inlineStr">
        <is>
          <t>calculation</t>
        </is>
      </c>
    </row>
    <row r="441">
      <c r="B441" s="4" t="inlineStr">
        <is>
          <t>Model</t>
        </is>
      </c>
      <c r="C441" s="8" t="inlineStr">
        <is>
          <t>br_truck_volume</t>
        </is>
      </c>
      <c r="D441" s="4" t="inlineStr">
        <is>
          <t>지점내방 화물차 판매대수</t>
        </is>
      </c>
      <c r="E441" s="4" t="inlineStr">
        <is>
          <t>2026</t>
        </is>
      </c>
      <c r="F441" s="8" t="inlineStr">
        <is>
          <t>L67</t>
        </is>
      </c>
      <c r="G441" s="4">
        <f>(L35*L66)</f>
        <v/>
      </c>
      <c r="H441" s="4" t="inlineStr">
        <is>
          <t>calculation</t>
        </is>
      </c>
    </row>
    <row r="442">
      <c r="B442" s="4" t="inlineStr">
        <is>
          <t>Model</t>
        </is>
      </c>
      <c r="C442" s="8" t="inlineStr">
        <is>
          <t>br_truck_volume</t>
        </is>
      </c>
      <c r="D442" s="4" t="inlineStr">
        <is>
          <t>지점내방 화물차 판매대수</t>
        </is>
      </c>
      <c r="E442" s="4" t="inlineStr">
        <is>
          <t>2027</t>
        </is>
      </c>
      <c r="F442" s="8" t="inlineStr">
        <is>
          <t>M67</t>
        </is>
      </c>
      <c r="G442" s="4">
        <f>(M35*M66)</f>
        <v/>
      </c>
      <c r="H442" s="4" t="inlineStr">
        <is>
          <t>calculation</t>
        </is>
      </c>
    </row>
    <row r="443">
      <c r="B443" s="4" t="inlineStr">
        <is>
          <t>Model</t>
        </is>
      </c>
      <c r="C443" s="8" t="inlineStr">
        <is>
          <t>br_truck_volume</t>
        </is>
      </c>
      <c r="D443" s="4" t="inlineStr">
        <is>
          <t>지점내방 화물차 판매대수</t>
        </is>
      </c>
      <c r="E443" s="4" t="inlineStr">
        <is>
          <t>2028</t>
        </is>
      </c>
      <c r="F443" s="8" t="inlineStr">
        <is>
          <t>N67</t>
        </is>
      </c>
      <c r="G443" s="4">
        <f>(N35*N66)</f>
        <v/>
      </c>
      <c r="H443" s="4" t="inlineStr">
        <is>
          <t>calculation</t>
        </is>
      </c>
    </row>
    <row r="444">
      <c r="B444" s="4" t="inlineStr">
        <is>
          <t>Model</t>
        </is>
      </c>
      <c r="C444" s="8" t="inlineStr">
        <is>
          <t>br_truck_volume</t>
        </is>
      </c>
      <c r="D444" s="4" t="inlineStr">
        <is>
          <t>지점내방 화물차 판매대수</t>
        </is>
      </c>
      <c r="E444" s="4" t="inlineStr">
        <is>
          <t>2029</t>
        </is>
      </c>
      <c r="F444" s="8" t="inlineStr">
        <is>
          <t>O67</t>
        </is>
      </c>
      <c r="G444" s="4">
        <f>(O35*O66)</f>
        <v/>
      </c>
      <c r="H444" s="4" t="inlineStr">
        <is>
          <t>calculation</t>
        </is>
      </c>
    </row>
    <row r="445">
      <c r="B445" s="4" t="inlineStr">
        <is>
          <t>Model</t>
        </is>
      </c>
      <c r="C445" s="8" t="inlineStr">
        <is>
          <t>br_truck_asp</t>
        </is>
      </c>
      <c r="D445" s="4" t="inlineStr">
        <is>
          <t>지점내방 화물차 ASP</t>
        </is>
      </c>
      <c r="E445" s="4" t="inlineStr">
        <is>
          <t>2023</t>
        </is>
      </c>
      <c r="F445" s="8" t="inlineStr">
        <is>
          <t>I68</t>
        </is>
      </c>
      <c r="G445" s="4">
        <f>'Assumptions'!I37</f>
        <v/>
      </c>
      <c r="H445" s="4" t="inlineStr">
        <is>
          <t>input link</t>
        </is>
      </c>
    </row>
    <row r="446">
      <c r="B446" s="4" t="inlineStr">
        <is>
          <t>Model</t>
        </is>
      </c>
      <c r="C446" s="8" t="inlineStr">
        <is>
          <t>br_truck_asp</t>
        </is>
      </c>
      <c r="D446" s="4" t="inlineStr">
        <is>
          <t>지점내방 화물차 ASP</t>
        </is>
      </c>
      <c r="E446" s="4" t="inlineStr">
        <is>
          <t>2024</t>
        </is>
      </c>
      <c r="F446" s="8" t="inlineStr">
        <is>
          <t>J68</t>
        </is>
      </c>
      <c r="G446" s="4">
        <f>'Assumptions'!J37</f>
        <v/>
      </c>
      <c r="H446" s="4" t="inlineStr">
        <is>
          <t>input link</t>
        </is>
      </c>
    </row>
    <row r="447">
      <c r="B447" s="4" t="inlineStr">
        <is>
          <t>Model</t>
        </is>
      </c>
      <c r="C447" s="8" t="inlineStr">
        <is>
          <t>br_truck_asp</t>
        </is>
      </c>
      <c r="D447" s="4" t="inlineStr">
        <is>
          <t>지점내방 화물차 ASP</t>
        </is>
      </c>
      <c r="E447" s="4" t="inlineStr">
        <is>
          <t>2025</t>
        </is>
      </c>
      <c r="F447" s="8" t="inlineStr">
        <is>
          <t>K68</t>
        </is>
      </c>
      <c r="G447" s="4">
        <f>'Assumptions'!K37</f>
        <v/>
      </c>
      <c r="H447" s="4" t="inlineStr">
        <is>
          <t>input link</t>
        </is>
      </c>
    </row>
    <row r="448">
      <c r="B448" s="4" t="inlineStr">
        <is>
          <t>Model</t>
        </is>
      </c>
      <c r="C448" s="8" t="inlineStr">
        <is>
          <t>br_truck_asp</t>
        </is>
      </c>
      <c r="D448" s="4" t="inlineStr">
        <is>
          <t>지점내방 화물차 ASP</t>
        </is>
      </c>
      <c r="E448" s="4" t="inlineStr">
        <is>
          <t>2026</t>
        </is>
      </c>
      <c r="F448" s="8" t="inlineStr">
        <is>
          <t>L68</t>
        </is>
      </c>
      <c r="G448" s="4">
        <f>'Assumptions'!L37</f>
        <v/>
      </c>
      <c r="H448" s="4" t="inlineStr">
        <is>
          <t>input link</t>
        </is>
      </c>
    </row>
    <row r="449">
      <c r="B449" s="4" t="inlineStr">
        <is>
          <t>Model</t>
        </is>
      </c>
      <c r="C449" s="8" t="inlineStr">
        <is>
          <t>br_truck_asp</t>
        </is>
      </c>
      <c r="D449" s="4" t="inlineStr">
        <is>
          <t>지점내방 화물차 ASP</t>
        </is>
      </c>
      <c r="E449" s="4" t="inlineStr">
        <is>
          <t>2027</t>
        </is>
      </c>
      <c r="F449" s="8" t="inlineStr">
        <is>
          <t>M68</t>
        </is>
      </c>
      <c r="G449" s="4">
        <f>'Assumptions'!M37</f>
        <v/>
      </c>
      <c r="H449" s="4" t="inlineStr">
        <is>
          <t>input link</t>
        </is>
      </c>
    </row>
    <row r="450">
      <c r="B450" s="4" t="inlineStr">
        <is>
          <t>Model</t>
        </is>
      </c>
      <c r="C450" s="8" t="inlineStr">
        <is>
          <t>br_truck_asp</t>
        </is>
      </c>
      <c r="D450" s="4" t="inlineStr">
        <is>
          <t>지점내방 화물차 ASP</t>
        </is>
      </c>
      <c r="E450" s="4" t="inlineStr">
        <is>
          <t>2028</t>
        </is>
      </c>
      <c r="F450" s="8" t="inlineStr">
        <is>
          <t>N68</t>
        </is>
      </c>
      <c r="G450" s="4">
        <f>'Assumptions'!N37</f>
        <v/>
      </c>
      <c r="H450" s="4" t="inlineStr">
        <is>
          <t>input link</t>
        </is>
      </c>
    </row>
    <row r="451">
      <c r="B451" s="4" t="inlineStr">
        <is>
          <t>Model</t>
        </is>
      </c>
      <c r="C451" s="8" t="inlineStr">
        <is>
          <t>br_truck_asp</t>
        </is>
      </c>
      <c r="D451" s="4" t="inlineStr">
        <is>
          <t>지점내방 화물차 ASP</t>
        </is>
      </c>
      <c r="E451" s="4" t="inlineStr">
        <is>
          <t>2029</t>
        </is>
      </c>
      <c r="F451" s="8" t="inlineStr">
        <is>
          <t>O68</t>
        </is>
      </c>
      <c r="G451" s="4">
        <f>'Assumptions'!O37</f>
        <v/>
      </c>
      <c r="H451" s="4" t="inlineStr">
        <is>
          <t>input link</t>
        </is>
      </c>
    </row>
    <row r="452">
      <c r="B452" s="4" t="inlineStr">
        <is>
          <t>Model</t>
        </is>
      </c>
      <c r="C452" s="8" t="inlineStr">
        <is>
          <t>br_other_rev</t>
        </is>
      </c>
      <c r="D452" s="4" t="inlineStr">
        <is>
          <t>지점내방 기타</t>
        </is>
      </c>
      <c r="E452" s="4" t="inlineStr">
        <is>
          <t>2023</t>
        </is>
      </c>
      <c r="F452" s="8" t="inlineStr">
        <is>
          <t>I69</t>
        </is>
      </c>
      <c r="G452" s="4">
        <f>(I71*I72)</f>
        <v/>
      </c>
      <c r="H452" s="4" t="inlineStr">
        <is>
          <t>calculation</t>
        </is>
      </c>
    </row>
    <row r="453">
      <c r="B453" s="4" t="inlineStr">
        <is>
          <t>Model</t>
        </is>
      </c>
      <c r="C453" s="8" t="inlineStr">
        <is>
          <t>br_other_rev</t>
        </is>
      </c>
      <c r="D453" s="4" t="inlineStr">
        <is>
          <t>지점내방 기타</t>
        </is>
      </c>
      <c r="E453" s="4" t="inlineStr">
        <is>
          <t>2024</t>
        </is>
      </c>
      <c r="F453" s="8" t="inlineStr">
        <is>
          <t>J69</t>
        </is>
      </c>
      <c r="G453" s="4">
        <f>(J71*J72)</f>
        <v/>
      </c>
      <c r="H453" s="4" t="inlineStr">
        <is>
          <t>calculation</t>
        </is>
      </c>
    </row>
    <row r="454">
      <c r="B454" s="4" t="inlineStr">
        <is>
          <t>Model</t>
        </is>
      </c>
      <c r="C454" s="8" t="inlineStr">
        <is>
          <t>br_other_rev</t>
        </is>
      </c>
      <c r="D454" s="4" t="inlineStr">
        <is>
          <t>지점내방 기타</t>
        </is>
      </c>
      <c r="E454" s="4" t="inlineStr">
        <is>
          <t>2025</t>
        </is>
      </c>
      <c r="F454" s="8" t="inlineStr">
        <is>
          <t>K69</t>
        </is>
      </c>
      <c r="G454" s="4">
        <f>(K71*K72)</f>
        <v/>
      </c>
      <c r="H454" s="4" t="inlineStr">
        <is>
          <t>calculation</t>
        </is>
      </c>
    </row>
    <row r="455">
      <c r="B455" s="4" t="inlineStr">
        <is>
          <t>Model</t>
        </is>
      </c>
      <c r="C455" s="8" t="inlineStr">
        <is>
          <t>br_other_rev</t>
        </is>
      </c>
      <c r="D455" s="4" t="inlineStr">
        <is>
          <t>지점내방 기타</t>
        </is>
      </c>
      <c r="E455" s="4" t="inlineStr">
        <is>
          <t>2026</t>
        </is>
      </c>
      <c r="F455" s="8" t="inlineStr">
        <is>
          <t>L69</t>
        </is>
      </c>
      <c r="G455" s="4">
        <f>(L71*L72)</f>
        <v/>
      </c>
      <c r="H455" s="4" t="inlineStr">
        <is>
          <t>calculation</t>
        </is>
      </c>
    </row>
    <row r="456">
      <c r="B456" s="4" t="inlineStr">
        <is>
          <t>Model</t>
        </is>
      </c>
      <c r="C456" s="8" t="inlineStr">
        <is>
          <t>br_other_rev</t>
        </is>
      </c>
      <c r="D456" s="4" t="inlineStr">
        <is>
          <t>지점내방 기타</t>
        </is>
      </c>
      <c r="E456" s="4" t="inlineStr">
        <is>
          <t>2027</t>
        </is>
      </c>
      <c r="F456" s="8" t="inlineStr">
        <is>
          <t>M69</t>
        </is>
      </c>
      <c r="G456" s="4">
        <f>(M71*M72)</f>
        <v/>
      </c>
      <c r="H456" s="4" t="inlineStr">
        <is>
          <t>calculation</t>
        </is>
      </c>
    </row>
    <row r="457">
      <c r="B457" s="4" t="inlineStr">
        <is>
          <t>Model</t>
        </is>
      </c>
      <c r="C457" s="8" t="inlineStr">
        <is>
          <t>br_other_rev</t>
        </is>
      </c>
      <c r="D457" s="4" t="inlineStr">
        <is>
          <t>지점내방 기타</t>
        </is>
      </c>
      <c r="E457" s="4" t="inlineStr">
        <is>
          <t>2028</t>
        </is>
      </c>
      <c r="F457" s="8" t="inlineStr">
        <is>
          <t>N69</t>
        </is>
      </c>
      <c r="G457" s="4">
        <f>(N71*N72)</f>
        <v/>
      </c>
      <c r="H457" s="4" t="inlineStr">
        <is>
          <t>calculation</t>
        </is>
      </c>
    </row>
    <row r="458">
      <c r="B458" s="4" t="inlineStr">
        <is>
          <t>Model</t>
        </is>
      </c>
      <c r="C458" s="8" t="inlineStr">
        <is>
          <t>br_other_rev</t>
        </is>
      </c>
      <c r="D458" s="4" t="inlineStr">
        <is>
          <t>지점내방 기타</t>
        </is>
      </c>
      <c r="E458" s="4" t="inlineStr">
        <is>
          <t>2029</t>
        </is>
      </c>
      <c r="F458" s="8" t="inlineStr">
        <is>
          <t>O69</t>
        </is>
      </c>
      <c r="G458" s="4">
        <f>(O71*O72)</f>
        <v/>
      </c>
      <c r="H458" s="4" t="inlineStr">
        <is>
          <t>calculation</t>
        </is>
      </c>
    </row>
    <row r="459">
      <c r="B459" s="4" t="inlineStr">
        <is>
          <t>Model</t>
        </is>
      </c>
      <c r="C459" s="8" t="inlineStr">
        <is>
          <t>br_other_share</t>
        </is>
      </c>
      <c r="D459" s="4" t="inlineStr">
        <is>
          <t>지점내방 기타 점유율</t>
        </is>
      </c>
      <c r="E459" s="4" t="inlineStr">
        <is>
          <t>2023</t>
        </is>
      </c>
      <c r="F459" s="8" t="inlineStr">
        <is>
          <t>I70</t>
        </is>
      </c>
      <c r="G459" s="4">
        <f>'Assumptions'!I38</f>
        <v/>
      </c>
      <c r="H459" s="4" t="inlineStr">
        <is>
          <t>input link</t>
        </is>
      </c>
    </row>
    <row r="460">
      <c r="B460" s="4" t="inlineStr">
        <is>
          <t>Model</t>
        </is>
      </c>
      <c r="C460" s="8" t="inlineStr">
        <is>
          <t>br_other_share</t>
        </is>
      </c>
      <c r="D460" s="4" t="inlineStr">
        <is>
          <t>지점내방 기타 점유율</t>
        </is>
      </c>
      <c r="E460" s="4" t="inlineStr">
        <is>
          <t>2024</t>
        </is>
      </c>
      <c r="F460" s="8" t="inlineStr">
        <is>
          <t>J70</t>
        </is>
      </c>
      <c r="G460" s="4">
        <f>'Assumptions'!J38</f>
        <v/>
      </c>
      <c r="H460" s="4" t="inlineStr">
        <is>
          <t>input link</t>
        </is>
      </c>
    </row>
    <row r="461">
      <c r="B461" s="4" t="inlineStr">
        <is>
          <t>Model</t>
        </is>
      </c>
      <c r="C461" s="8" t="inlineStr">
        <is>
          <t>br_other_share</t>
        </is>
      </c>
      <c r="D461" s="4" t="inlineStr">
        <is>
          <t>지점내방 기타 점유율</t>
        </is>
      </c>
      <c r="E461" s="4" t="inlineStr">
        <is>
          <t>2025</t>
        </is>
      </c>
      <c r="F461" s="8" t="inlineStr">
        <is>
          <t>K70</t>
        </is>
      </c>
      <c r="G461" s="4">
        <f>'Assumptions'!K38</f>
        <v/>
      </c>
      <c r="H461" s="4" t="inlineStr">
        <is>
          <t>input link</t>
        </is>
      </c>
    </row>
    <row r="462">
      <c r="B462" s="4" t="inlineStr">
        <is>
          <t>Model</t>
        </is>
      </c>
      <c r="C462" s="8" t="inlineStr">
        <is>
          <t>br_other_share</t>
        </is>
      </c>
      <c r="D462" s="4" t="inlineStr">
        <is>
          <t>지점내방 기타 점유율</t>
        </is>
      </c>
      <c r="E462" s="4" t="inlineStr">
        <is>
          <t>2026</t>
        </is>
      </c>
      <c r="F462" s="8" t="inlineStr">
        <is>
          <t>L70</t>
        </is>
      </c>
      <c r="G462" s="4">
        <f>'Assumptions'!L38</f>
        <v/>
      </c>
      <c r="H462" s="4" t="inlineStr">
        <is>
          <t>input link</t>
        </is>
      </c>
    </row>
    <row r="463">
      <c r="B463" s="4" t="inlineStr">
        <is>
          <t>Model</t>
        </is>
      </c>
      <c r="C463" s="8" t="inlineStr">
        <is>
          <t>br_other_share</t>
        </is>
      </c>
      <c r="D463" s="4" t="inlineStr">
        <is>
          <t>지점내방 기타 점유율</t>
        </is>
      </c>
      <c r="E463" s="4" t="inlineStr">
        <is>
          <t>2027</t>
        </is>
      </c>
      <c r="F463" s="8" t="inlineStr">
        <is>
          <t>M70</t>
        </is>
      </c>
      <c r="G463" s="4">
        <f>'Assumptions'!M38</f>
        <v/>
      </c>
      <c r="H463" s="4" t="inlineStr">
        <is>
          <t>input link</t>
        </is>
      </c>
    </row>
    <row r="464">
      <c r="B464" s="4" t="inlineStr">
        <is>
          <t>Model</t>
        </is>
      </c>
      <c r="C464" s="8" t="inlineStr">
        <is>
          <t>br_other_share</t>
        </is>
      </c>
      <c r="D464" s="4" t="inlineStr">
        <is>
          <t>지점내방 기타 점유율</t>
        </is>
      </c>
      <c r="E464" s="4" t="inlineStr">
        <is>
          <t>2028</t>
        </is>
      </c>
      <c r="F464" s="8" t="inlineStr">
        <is>
          <t>N70</t>
        </is>
      </c>
      <c r="G464" s="4">
        <f>'Assumptions'!N38</f>
        <v/>
      </c>
      <c r="H464" s="4" t="inlineStr">
        <is>
          <t>input link</t>
        </is>
      </c>
    </row>
    <row r="465">
      <c r="B465" s="4" t="inlineStr">
        <is>
          <t>Model</t>
        </is>
      </c>
      <c r="C465" s="8" t="inlineStr">
        <is>
          <t>br_other_share</t>
        </is>
      </c>
      <c r="D465" s="4" t="inlineStr">
        <is>
          <t>지점내방 기타 점유율</t>
        </is>
      </c>
      <c r="E465" s="4" t="inlineStr">
        <is>
          <t>2029</t>
        </is>
      </c>
      <c r="F465" s="8" t="inlineStr">
        <is>
          <t>O70</t>
        </is>
      </c>
      <c r="G465" s="4">
        <f>'Assumptions'!O38</f>
        <v/>
      </c>
      <c r="H465" s="4" t="inlineStr">
        <is>
          <t>input link</t>
        </is>
      </c>
    </row>
    <row r="466">
      <c r="B466" s="4" t="inlineStr">
        <is>
          <t>Model</t>
        </is>
      </c>
      <c r="C466" s="8" t="inlineStr">
        <is>
          <t>br_other_volume</t>
        </is>
      </c>
      <c r="D466" s="4" t="inlineStr">
        <is>
          <t>지점내방 기타 판매대수</t>
        </is>
      </c>
      <c r="E466" s="4" t="inlineStr">
        <is>
          <t>2023</t>
        </is>
      </c>
      <c r="F466" s="8" t="inlineStr">
        <is>
          <t>I71</t>
        </is>
      </c>
      <c r="G466" s="4">
        <f>(I40*I70)</f>
        <v/>
      </c>
      <c r="H466" s="4" t="inlineStr">
        <is>
          <t>calculation</t>
        </is>
      </c>
    </row>
    <row r="467">
      <c r="B467" s="4" t="inlineStr">
        <is>
          <t>Model</t>
        </is>
      </c>
      <c r="C467" s="8" t="inlineStr">
        <is>
          <t>br_other_volume</t>
        </is>
      </c>
      <c r="D467" s="4" t="inlineStr">
        <is>
          <t>지점내방 기타 판매대수</t>
        </is>
      </c>
      <c r="E467" s="4" t="inlineStr">
        <is>
          <t>2024</t>
        </is>
      </c>
      <c r="F467" s="8" t="inlineStr">
        <is>
          <t>J71</t>
        </is>
      </c>
      <c r="G467" s="4">
        <f>(J40*J70)</f>
        <v/>
      </c>
      <c r="H467" s="4" t="inlineStr">
        <is>
          <t>calculation</t>
        </is>
      </c>
    </row>
    <row r="468">
      <c r="B468" s="4" t="inlineStr">
        <is>
          <t>Model</t>
        </is>
      </c>
      <c r="C468" s="8" t="inlineStr">
        <is>
          <t>br_other_volume</t>
        </is>
      </c>
      <c r="D468" s="4" t="inlineStr">
        <is>
          <t>지점내방 기타 판매대수</t>
        </is>
      </c>
      <c r="E468" s="4" t="inlineStr">
        <is>
          <t>2025</t>
        </is>
      </c>
      <c r="F468" s="8" t="inlineStr">
        <is>
          <t>K71</t>
        </is>
      </c>
      <c r="G468" s="4">
        <f>(K40*K70)</f>
        <v/>
      </c>
      <c r="H468" s="4" t="inlineStr">
        <is>
          <t>calculation</t>
        </is>
      </c>
    </row>
    <row r="469">
      <c r="B469" s="4" t="inlineStr">
        <is>
          <t>Model</t>
        </is>
      </c>
      <c r="C469" s="8" t="inlineStr">
        <is>
          <t>br_other_volume</t>
        </is>
      </c>
      <c r="D469" s="4" t="inlineStr">
        <is>
          <t>지점내방 기타 판매대수</t>
        </is>
      </c>
      <c r="E469" s="4" t="inlineStr">
        <is>
          <t>2026</t>
        </is>
      </c>
      <c r="F469" s="8" t="inlineStr">
        <is>
          <t>L71</t>
        </is>
      </c>
      <c r="G469" s="4">
        <f>(L40*L70)</f>
        <v/>
      </c>
      <c r="H469" s="4" t="inlineStr">
        <is>
          <t>calculation</t>
        </is>
      </c>
    </row>
    <row r="470">
      <c r="B470" s="4" t="inlineStr">
        <is>
          <t>Model</t>
        </is>
      </c>
      <c r="C470" s="8" t="inlineStr">
        <is>
          <t>br_other_volume</t>
        </is>
      </c>
      <c r="D470" s="4" t="inlineStr">
        <is>
          <t>지점내방 기타 판매대수</t>
        </is>
      </c>
      <c r="E470" s="4" t="inlineStr">
        <is>
          <t>2027</t>
        </is>
      </c>
      <c r="F470" s="8" t="inlineStr">
        <is>
          <t>M71</t>
        </is>
      </c>
      <c r="G470" s="4">
        <f>(M40*M70)</f>
        <v/>
      </c>
      <c r="H470" s="4" t="inlineStr">
        <is>
          <t>calculation</t>
        </is>
      </c>
    </row>
    <row r="471">
      <c r="B471" s="4" t="inlineStr">
        <is>
          <t>Model</t>
        </is>
      </c>
      <c r="C471" s="8" t="inlineStr">
        <is>
          <t>br_other_volume</t>
        </is>
      </c>
      <c r="D471" s="4" t="inlineStr">
        <is>
          <t>지점내방 기타 판매대수</t>
        </is>
      </c>
      <c r="E471" s="4" t="inlineStr">
        <is>
          <t>2028</t>
        </is>
      </c>
      <c r="F471" s="8" t="inlineStr">
        <is>
          <t>N71</t>
        </is>
      </c>
      <c r="G471" s="4">
        <f>(N40*N70)</f>
        <v/>
      </c>
      <c r="H471" s="4" t="inlineStr">
        <is>
          <t>calculation</t>
        </is>
      </c>
    </row>
    <row r="472">
      <c r="B472" s="4" t="inlineStr">
        <is>
          <t>Model</t>
        </is>
      </c>
      <c r="C472" s="8" t="inlineStr">
        <is>
          <t>br_other_volume</t>
        </is>
      </c>
      <c r="D472" s="4" t="inlineStr">
        <is>
          <t>지점내방 기타 판매대수</t>
        </is>
      </c>
      <c r="E472" s="4" t="inlineStr">
        <is>
          <t>2029</t>
        </is>
      </c>
      <c r="F472" s="8" t="inlineStr">
        <is>
          <t>O71</t>
        </is>
      </c>
      <c r="G472" s="4">
        <f>(O40*O70)</f>
        <v/>
      </c>
      <c r="H472" s="4" t="inlineStr">
        <is>
          <t>calculation</t>
        </is>
      </c>
    </row>
    <row r="473">
      <c r="B473" s="4" t="inlineStr">
        <is>
          <t>Model</t>
        </is>
      </c>
      <c r="C473" s="8" t="inlineStr">
        <is>
          <t>br_other_asp</t>
        </is>
      </c>
      <c r="D473" s="4" t="inlineStr">
        <is>
          <t>지점내방 기타 ASP</t>
        </is>
      </c>
      <c r="E473" s="4" t="inlineStr">
        <is>
          <t>2023</t>
        </is>
      </c>
      <c r="F473" s="8" t="inlineStr">
        <is>
          <t>I72</t>
        </is>
      </c>
      <c r="G473" s="4">
        <f>'Assumptions'!I39</f>
        <v/>
      </c>
      <c r="H473" s="4" t="inlineStr">
        <is>
          <t>input link</t>
        </is>
      </c>
    </row>
    <row r="474">
      <c r="B474" s="4" t="inlineStr">
        <is>
          <t>Model</t>
        </is>
      </c>
      <c r="C474" s="8" t="inlineStr">
        <is>
          <t>br_other_asp</t>
        </is>
      </c>
      <c r="D474" s="4" t="inlineStr">
        <is>
          <t>지점내방 기타 ASP</t>
        </is>
      </c>
      <c r="E474" s="4" t="inlineStr">
        <is>
          <t>2024</t>
        </is>
      </c>
      <c r="F474" s="8" t="inlineStr">
        <is>
          <t>J72</t>
        </is>
      </c>
      <c r="G474" s="4">
        <f>'Assumptions'!J39</f>
        <v/>
      </c>
      <c r="H474" s="4" t="inlineStr">
        <is>
          <t>input link</t>
        </is>
      </c>
    </row>
    <row r="475">
      <c r="B475" s="4" t="inlineStr">
        <is>
          <t>Model</t>
        </is>
      </c>
      <c r="C475" s="8" t="inlineStr">
        <is>
          <t>br_other_asp</t>
        </is>
      </c>
      <c r="D475" s="4" t="inlineStr">
        <is>
          <t>지점내방 기타 ASP</t>
        </is>
      </c>
      <c r="E475" s="4" t="inlineStr">
        <is>
          <t>2025</t>
        </is>
      </c>
      <c r="F475" s="8" t="inlineStr">
        <is>
          <t>K72</t>
        </is>
      </c>
      <c r="G475" s="4">
        <f>'Assumptions'!K39</f>
        <v/>
      </c>
      <c r="H475" s="4" t="inlineStr">
        <is>
          <t>input link</t>
        </is>
      </c>
    </row>
    <row r="476">
      <c r="B476" s="4" t="inlineStr">
        <is>
          <t>Model</t>
        </is>
      </c>
      <c r="C476" s="8" t="inlineStr">
        <is>
          <t>br_other_asp</t>
        </is>
      </c>
      <c r="D476" s="4" t="inlineStr">
        <is>
          <t>지점내방 기타 ASP</t>
        </is>
      </c>
      <c r="E476" s="4" t="inlineStr">
        <is>
          <t>2026</t>
        </is>
      </c>
      <c r="F476" s="8" t="inlineStr">
        <is>
          <t>L72</t>
        </is>
      </c>
      <c r="G476" s="4">
        <f>'Assumptions'!L39</f>
        <v/>
      </c>
      <c r="H476" s="4" t="inlineStr">
        <is>
          <t>input link</t>
        </is>
      </c>
    </row>
    <row r="477">
      <c r="B477" s="4" t="inlineStr">
        <is>
          <t>Model</t>
        </is>
      </c>
      <c r="C477" s="8" t="inlineStr">
        <is>
          <t>br_other_asp</t>
        </is>
      </c>
      <c r="D477" s="4" t="inlineStr">
        <is>
          <t>지점내방 기타 ASP</t>
        </is>
      </c>
      <c r="E477" s="4" t="inlineStr">
        <is>
          <t>2027</t>
        </is>
      </c>
      <c r="F477" s="8" t="inlineStr">
        <is>
          <t>M72</t>
        </is>
      </c>
      <c r="G477" s="4">
        <f>'Assumptions'!M39</f>
        <v/>
      </c>
      <c r="H477" s="4" t="inlineStr">
        <is>
          <t>input link</t>
        </is>
      </c>
    </row>
    <row r="478">
      <c r="B478" s="4" t="inlineStr">
        <is>
          <t>Model</t>
        </is>
      </c>
      <c r="C478" s="8" t="inlineStr">
        <is>
          <t>br_other_asp</t>
        </is>
      </c>
      <c r="D478" s="4" t="inlineStr">
        <is>
          <t>지점내방 기타 ASP</t>
        </is>
      </c>
      <c r="E478" s="4" t="inlineStr">
        <is>
          <t>2028</t>
        </is>
      </c>
      <c r="F478" s="8" t="inlineStr">
        <is>
          <t>N72</t>
        </is>
      </c>
      <c r="G478" s="4">
        <f>'Assumptions'!N39</f>
        <v/>
      </c>
      <c r="H478" s="4" t="inlineStr">
        <is>
          <t>input link</t>
        </is>
      </c>
    </row>
    <row r="479">
      <c r="B479" s="4" t="inlineStr">
        <is>
          <t>Model</t>
        </is>
      </c>
      <c r="C479" s="8" t="inlineStr">
        <is>
          <t>br_other_asp</t>
        </is>
      </c>
      <c r="D479" s="4" t="inlineStr">
        <is>
          <t>지점내방 기타 ASP</t>
        </is>
      </c>
      <c r="E479" s="4" t="inlineStr">
        <is>
          <t>2029</t>
        </is>
      </c>
      <c r="F479" s="8" t="inlineStr">
        <is>
          <t>O72</t>
        </is>
      </c>
      <c r="G479" s="4">
        <f>'Assumptions'!O39</f>
        <v/>
      </c>
      <c r="H479" s="4" t="inlineStr">
        <is>
          <t>input link</t>
        </is>
      </c>
    </row>
    <row r="480">
      <c r="B480" s="4" t="inlineStr">
        <is>
          <t>Model</t>
        </is>
      </c>
      <c r="C480" s="8" t="inlineStr">
        <is>
          <t>used_car_volume</t>
        </is>
      </c>
      <c r="D480" s="4" t="inlineStr">
        <is>
          <t>중고차 판매대수</t>
        </is>
      </c>
      <c r="E480" s="4" t="inlineStr">
        <is>
          <t>2023</t>
        </is>
      </c>
      <c r="F480" s="8" t="inlineStr">
        <is>
          <t>I73</t>
        </is>
      </c>
      <c r="G480" s="4">
        <f>SUM(I12,I17,I22,I27,I32,I37,I42,I47,I51,I55,I59,I63,I67,I71)</f>
        <v/>
      </c>
      <c r="H480" s="4" t="inlineStr">
        <is>
          <t>calculation</t>
        </is>
      </c>
    </row>
    <row r="481">
      <c r="B481" s="4" t="inlineStr">
        <is>
          <t>Model</t>
        </is>
      </c>
      <c r="C481" s="8" t="inlineStr">
        <is>
          <t>used_car_volume</t>
        </is>
      </c>
      <c r="D481" s="4" t="inlineStr">
        <is>
          <t>중고차 판매대수</t>
        </is>
      </c>
      <c r="E481" s="4" t="inlineStr">
        <is>
          <t>2024</t>
        </is>
      </c>
      <c r="F481" s="8" t="inlineStr">
        <is>
          <t>J73</t>
        </is>
      </c>
      <c r="G481" s="4">
        <f>SUM(J12,J17,J22,J27,J32,J37,J42,J47,J51,J55,J59,J63,J67,J71)</f>
        <v/>
      </c>
      <c r="H481" s="4" t="inlineStr">
        <is>
          <t>calculation</t>
        </is>
      </c>
    </row>
    <row r="482">
      <c r="B482" s="4" t="inlineStr">
        <is>
          <t>Model</t>
        </is>
      </c>
      <c r="C482" s="8" t="inlineStr">
        <is>
          <t>used_car_volume</t>
        </is>
      </c>
      <c r="D482" s="4" t="inlineStr">
        <is>
          <t>중고차 판매대수</t>
        </is>
      </c>
      <c r="E482" s="4" t="inlineStr">
        <is>
          <t>2025</t>
        </is>
      </c>
      <c r="F482" s="8" t="inlineStr">
        <is>
          <t>K73</t>
        </is>
      </c>
      <c r="G482" s="4">
        <f>SUM(K12,K17,K22,K27,K32,K37,K42,K47,K51,K55,K59,K63,K67,K71)</f>
        <v/>
      </c>
      <c r="H482" s="4" t="inlineStr">
        <is>
          <t>calculation</t>
        </is>
      </c>
    </row>
    <row r="483">
      <c r="B483" s="4" t="inlineStr">
        <is>
          <t>Model</t>
        </is>
      </c>
      <c r="C483" s="8" t="inlineStr">
        <is>
          <t>used_car_volume</t>
        </is>
      </c>
      <c r="D483" s="4" t="inlineStr">
        <is>
          <t>중고차 판매대수</t>
        </is>
      </c>
      <c r="E483" s="4" t="inlineStr">
        <is>
          <t>2026</t>
        </is>
      </c>
      <c r="F483" s="8" t="inlineStr">
        <is>
          <t>L73</t>
        </is>
      </c>
      <c r="G483" s="4">
        <f>SUM(L12,L17,L22,L27,L32,L37,L42,L47,L51,L55,L59,L63,L67,L71)</f>
        <v/>
      </c>
      <c r="H483" s="4" t="inlineStr">
        <is>
          <t>calculation</t>
        </is>
      </c>
    </row>
    <row r="484">
      <c r="B484" s="4" t="inlineStr">
        <is>
          <t>Model</t>
        </is>
      </c>
      <c r="C484" s="8" t="inlineStr">
        <is>
          <t>used_car_volume</t>
        </is>
      </c>
      <c r="D484" s="4" t="inlineStr">
        <is>
          <t>중고차 판매대수</t>
        </is>
      </c>
      <c r="E484" s="4" t="inlineStr">
        <is>
          <t>2027</t>
        </is>
      </c>
      <c r="F484" s="8" t="inlineStr">
        <is>
          <t>M73</t>
        </is>
      </c>
      <c r="G484" s="4">
        <f>SUM(M12,M17,M22,M27,M32,M37,M42,M47,M51,M55,M59,M63,M67,M71)</f>
        <v/>
      </c>
      <c r="H484" s="4" t="inlineStr">
        <is>
          <t>calculation</t>
        </is>
      </c>
    </row>
    <row r="485">
      <c r="B485" s="4" t="inlineStr">
        <is>
          <t>Model</t>
        </is>
      </c>
      <c r="C485" s="8" t="inlineStr">
        <is>
          <t>used_car_volume</t>
        </is>
      </c>
      <c r="D485" s="4" t="inlineStr">
        <is>
          <t>중고차 판매대수</t>
        </is>
      </c>
      <c r="E485" s="4" t="inlineStr">
        <is>
          <t>2028</t>
        </is>
      </c>
      <c r="F485" s="8" t="inlineStr">
        <is>
          <t>N73</t>
        </is>
      </c>
      <c r="G485" s="4">
        <f>SUM(N12,N17,N22,N27,N32,N37,N42,N47,N51,N55,N59,N63,N67,N71)</f>
        <v/>
      </c>
      <c r="H485" s="4" t="inlineStr">
        <is>
          <t>calculation</t>
        </is>
      </c>
    </row>
    <row r="486">
      <c r="B486" s="4" t="inlineStr">
        <is>
          <t>Model</t>
        </is>
      </c>
      <c r="C486" s="8" t="inlineStr">
        <is>
          <t>used_car_volume</t>
        </is>
      </c>
      <c r="D486" s="4" t="inlineStr">
        <is>
          <t>중고차 판매대수</t>
        </is>
      </c>
      <c r="E486" s="4" t="inlineStr">
        <is>
          <t>2029</t>
        </is>
      </c>
      <c r="F486" s="8" t="inlineStr">
        <is>
          <t>O73</t>
        </is>
      </c>
      <c r="G486" s="4">
        <f>SUM(O12,O17,O22,O27,O32,O37,O42,O47,O51,O55,O59,O63,O67,O71)</f>
        <v/>
      </c>
      <c r="H486" s="4" t="inlineStr">
        <is>
          <t>calculation</t>
        </is>
      </c>
    </row>
    <row r="487">
      <c r="B487" s="4" t="inlineStr">
        <is>
          <t>Model</t>
        </is>
      </c>
      <c r="C487" s="8" t="inlineStr">
        <is>
          <t>auction_sales</t>
        </is>
      </c>
      <c r="D487" s="4" t="inlineStr">
        <is>
          <t>경매 매출</t>
        </is>
      </c>
      <c r="E487" s="4" t="inlineStr">
        <is>
          <t>2023</t>
        </is>
      </c>
      <c r="F487" s="8" t="inlineStr">
        <is>
          <t>I74</t>
        </is>
      </c>
      <c r="G487" s="4">
        <f>(I75+I76)</f>
        <v/>
      </c>
      <c r="H487" s="4" t="inlineStr">
        <is>
          <t>calculation</t>
        </is>
      </c>
    </row>
    <row r="488">
      <c r="B488" s="4" t="inlineStr">
        <is>
          <t>Model</t>
        </is>
      </c>
      <c r="C488" s="8" t="inlineStr">
        <is>
          <t>auction_sales</t>
        </is>
      </c>
      <c r="D488" s="4" t="inlineStr">
        <is>
          <t>경매 매출</t>
        </is>
      </c>
      <c r="E488" s="4" t="inlineStr">
        <is>
          <t>2024</t>
        </is>
      </c>
      <c r="F488" s="8" t="inlineStr">
        <is>
          <t>J74</t>
        </is>
      </c>
      <c r="G488" s="4">
        <f>(J75+J76)</f>
        <v/>
      </c>
      <c r="H488" s="4" t="inlineStr">
        <is>
          <t>calculation</t>
        </is>
      </c>
    </row>
    <row r="489">
      <c r="B489" s="4" t="inlineStr">
        <is>
          <t>Model</t>
        </is>
      </c>
      <c r="C489" s="8" t="inlineStr">
        <is>
          <t>auction_sales</t>
        </is>
      </c>
      <c r="D489" s="4" t="inlineStr">
        <is>
          <t>경매 매출</t>
        </is>
      </c>
      <c r="E489" s="4" t="inlineStr">
        <is>
          <t>2025</t>
        </is>
      </c>
      <c r="F489" s="8" t="inlineStr">
        <is>
          <t>K74</t>
        </is>
      </c>
      <c r="G489" s="4">
        <f>(K75+K76)</f>
        <v/>
      </c>
      <c r="H489" s="4" t="inlineStr">
        <is>
          <t>calculation</t>
        </is>
      </c>
    </row>
    <row r="490">
      <c r="B490" s="4" t="inlineStr">
        <is>
          <t>Model</t>
        </is>
      </c>
      <c r="C490" s="8" t="inlineStr">
        <is>
          <t>auction_sales</t>
        </is>
      </c>
      <c r="D490" s="4" t="inlineStr">
        <is>
          <t>경매 매출</t>
        </is>
      </c>
      <c r="E490" s="4" t="inlineStr">
        <is>
          <t>2026</t>
        </is>
      </c>
      <c r="F490" s="8" t="inlineStr">
        <is>
          <t>L74</t>
        </is>
      </c>
      <c r="G490" s="4">
        <f>(L75+L76)</f>
        <v/>
      </c>
      <c r="H490" s="4" t="inlineStr">
        <is>
          <t>calculation</t>
        </is>
      </c>
    </row>
    <row r="491">
      <c r="B491" s="4" t="inlineStr">
        <is>
          <t>Model</t>
        </is>
      </c>
      <c r="C491" s="8" t="inlineStr">
        <is>
          <t>auction_sales</t>
        </is>
      </c>
      <c r="D491" s="4" t="inlineStr">
        <is>
          <t>경매 매출</t>
        </is>
      </c>
      <c r="E491" s="4" t="inlineStr">
        <is>
          <t>2027</t>
        </is>
      </c>
      <c r="F491" s="8" t="inlineStr">
        <is>
          <t>M74</t>
        </is>
      </c>
      <c r="G491" s="4">
        <f>(M75+M76)</f>
        <v/>
      </c>
      <c r="H491" s="4" t="inlineStr">
        <is>
          <t>calculation</t>
        </is>
      </c>
    </row>
    <row r="492">
      <c r="B492" s="4" t="inlineStr">
        <is>
          <t>Model</t>
        </is>
      </c>
      <c r="C492" s="8" t="inlineStr">
        <is>
          <t>auction_sales</t>
        </is>
      </c>
      <c r="D492" s="4" t="inlineStr">
        <is>
          <t>경매 매출</t>
        </is>
      </c>
      <c r="E492" s="4" t="inlineStr">
        <is>
          <t>2028</t>
        </is>
      </c>
      <c r="F492" s="8" t="inlineStr">
        <is>
          <t>N74</t>
        </is>
      </c>
      <c r="G492" s="4">
        <f>(N75+N76)</f>
        <v/>
      </c>
      <c r="H492" s="4" t="inlineStr">
        <is>
          <t>calculation</t>
        </is>
      </c>
    </row>
    <row r="493">
      <c r="B493" s="4" t="inlineStr">
        <is>
          <t>Model</t>
        </is>
      </c>
      <c r="C493" s="8" t="inlineStr">
        <is>
          <t>auction_sales</t>
        </is>
      </c>
      <c r="D493" s="4" t="inlineStr">
        <is>
          <t>경매 매출</t>
        </is>
      </c>
      <c r="E493" s="4" t="inlineStr">
        <is>
          <t>2029</t>
        </is>
      </c>
      <c r="F493" s="8" t="inlineStr">
        <is>
          <t>O74</t>
        </is>
      </c>
      <c r="G493" s="4">
        <f>(O75+O76)</f>
        <v/>
      </c>
      <c r="H493" s="4" t="inlineStr">
        <is>
          <t>calculation</t>
        </is>
      </c>
    </row>
    <row r="494">
      <c r="B494" s="4" t="inlineStr">
        <is>
          <t>Model</t>
        </is>
      </c>
      <c r="C494" s="8" t="inlineStr">
        <is>
          <t>auction_product_sales</t>
        </is>
      </c>
      <c r="D494" s="4" t="inlineStr">
        <is>
          <t>경매 상품 매출</t>
        </is>
      </c>
      <c r="E494" s="4" t="inlineStr">
        <is>
          <t>2023</t>
        </is>
      </c>
      <c r="F494" s="8" t="inlineStr">
        <is>
          <t>I75</t>
        </is>
      </c>
      <c r="G494" s="4">
        <f>'Assumptions'!I40</f>
        <v/>
      </c>
      <c r="H494" s="4" t="inlineStr">
        <is>
          <t>input link</t>
        </is>
      </c>
    </row>
    <row r="495">
      <c r="B495" s="4" t="inlineStr">
        <is>
          <t>Model</t>
        </is>
      </c>
      <c r="C495" s="8" t="inlineStr">
        <is>
          <t>auction_product_sales</t>
        </is>
      </c>
      <c r="D495" s="4" t="inlineStr">
        <is>
          <t>경매 상품 매출</t>
        </is>
      </c>
      <c r="E495" s="4" t="inlineStr">
        <is>
          <t>2024</t>
        </is>
      </c>
      <c r="F495" s="8" t="inlineStr">
        <is>
          <t>J75</t>
        </is>
      </c>
      <c r="G495" s="4">
        <f>'Assumptions'!J40</f>
        <v/>
      </c>
      <c r="H495" s="4" t="inlineStr">
        <is>
          <t>input link</t>
        </is>
      </c>
    </row>
    <row r="496">
      <c r="B496" s="4" t="inlineStr">
        <is>
          <t>Model</t>
        </is>
      </c>
      <c r="C496" s="8" t="inlineStr">
        <is>
          <t>auction_product_sales</t>
        </is>
      </c>
      <c r="D496" s="4" t="inlineStr">
        <is>
          <t>경매 상품 매출</t>
        </is>
      </c>
      <c r="E496" s="4" t="inlineStr">
        <is>
          <t>2025</t>
        </is>
      </c>
      <c r="F496" s="8" t="inlineStr">
        <is>
          <t>K75</t>
        </is>
      </c>
      <c r="G496" s="4">
        <f>'Assumptions'!K40</f>
        <v/>
      </c>
      <c r="H496" s="4" t="inlineStr">
        <is>
          <t>input link</t>
        </is>
      </c>
    </row>
    <row r="497">
      <c r="B497" s="4" t="inlineStr">
        <is>
          <t>Model</t>
        </is>
      </c>
      <c r="C497" s="8" t="inlineStr">
        <is>
          <t>auction_product_sales</t>
        </is>
      </c>
      <c r="D497" s="4" t="inlineStr">
        <is>
          <t>경매 상품 매출</t>
        </is>
      </c>
      <c r="E497" s="4" t="inlineStr">
        <is>
          <t>2026</t>
        </is>
      </c>
      <c r="F497" s="8" t="inlineStr">
        <is>
          <t>L75</t>
        </is>
      </c>
      <c r="G497" s="4">
        <f>'Assumptions'!L40</f>
        <v/>
      </c>
      <c r="H497" s="4" t="inlineStr">
        <is>
          <t>input link</t>
        </is>
      </c>
    </row>
    <row r="498">
      <c r="B498" s="4" t="inlineStr">
        <is>
          <t>Model</t>
        </is>
      </c>
      <c r="C498" s="8" t="inlineStr">
        <is>
          <t>auction_product_sales</t>
        </is>
      </c>
      <c r="D498" s="4" t="inlineStr">
        <is>
          <t>경매 상품 매출</t>
        </is>
      </c>
      <c r="E498" s="4" t="inlineStr">
        <is>
          <t>2027</t>
        </is>
      </c>
      <c r="F498" s="8" t="inlineStr">
        <is>
          <t>M75</t>
        </is>
      </c>
      <c r="G498" s="4">
        <f>'Assumptions'!M40</f>
        <v/>
      </c>
      <c r="H498" s="4" t="inlineStr">
        <is>
          <t>input link</t>
        </is>
      </c>
    </row>
    <row r="499">
      <c r="B499" s="4" t="inlineStr">
        <is>
          <t>Model</t>
        </is>
      </c>
      <c r="C499" s="8" t="inlineStr">
        <is>
          <t>auction_product_sales</t>
        </is>
      </c>
      <c r="D499" s="4" t="inlineStr">
        <is>
          <t>경매 상품 매출</t>
        </is>
      </c>
      <c r="E499" s="4" t="inlineStr">
        <is>
          <t>2028</t>
        </is>
      </c>
      <c r="F499" s="8" t="inlineStr">
        <is>
          <t>N75</t>
        </is>
      </c>
      <c r="G499" s="4">
        <f>'Assumptions'!N40</f>
        <v/>
      </c>
      <c r="H499" s="4" t="inlineStr">
        <is>
          <t>input link</t>
        </is>
      </c>
    </row>
    <row r="500">
      <c r="B500" s="4" t="inlineStr">
        <is>
          <t>Model</t>
        </is>
      </c>
      <c r="C500" s="8" t="inlineStr">
        <is>
          <t>auction_product_sales</t>
        </is>
      </c>
      <c r="D500" s="4" t="inlineStr">
        <is>
          <t>경매 상품 매출</t>
        </is>
      </c>
      <c r="E500" s="4" t="inlineStr">
        <is>
          <t>2029</t>
        </is>
      </c>
      <c r="F500" s="8" t="inlineStr">
        <is>
          <t>O75</t>
        </is>
      </c>
      <c r="G500" s="4">
        <f>'Assumptions'!O40</f>
        <v/>
      </c>
      <c r="H500" s="4" t="inlineStr">
        <is>
          <t>input link</t>
        </is>
      </c>
    </row>
    <row r="501">
      <c r="B501" s="4" t="inlineStr">
        <is>
          <t>Model</t>
        </is>
      </c>
      <c r="C501" s="8" t="inlineStr">
        <is>
          <t>auction_service_sales</t>
        </is>
      </c>
      <c r="D501" s="4" t="inlineStr">
        <is>
          <t>경매 용역 매출</t>
        </is>
      </c>
      <c r="E501" s="4" t="inlineStr">
        <is>
          <t>2023</t>
        </is>
      </c>
      <c r="F501" s="8" t="inlineStr">
        <is>
          <t>I76</t>
        </is>
      </c>
      <c r="G501" s="4">
        <f>'Assumptions'!I41</f>
        <v/>
      </c>
      <c r="H501" s="4" t="inlineStr">
        <is>
          <t>input link</t>
        </is>
      </c>
    </row>
    <row r="502">
      <c r="B502" s="4" t="inlineStr">
        <is>
          <t>Model</t>
        </is>
      </c>
      <c r="C502" s="8" t="inlineStr">
        <is>
          <t>auction_service_sales</t>
        </is>
      </c>
      <c r="D502" s="4" t="inlineStr">
        <is>
          <t>경매 용역 매출</t>
        </is>
      </c>
      <c r="E502" s="4" t="inlineStr">
        <is>
          <t>2024</t>
        </is>
      </c>
      <c r="F502" s="8" t="inlineStr">
        <is>
          <t>J76</t>
        </is>
      </c>
      <c r="G502" s="4">
        <f>'Assumptions'!J41</f>
        <v/>
      </c>
      <c r="H502" s="4" t="inlineStr">
        <is>
          <t>input link</t>
        </is>
      </c>
    </row>
    <row r="503">
      <c r="B503" s="4" t="inlineStr">
        <is>
          <t>Model</t>
        </is>
      </c>
      <c r="C503" s="8" t="inlineStr">
        <is>
          <t>auction_service_sales</t>
        </is>
      </c>
      <c r="D503" s="4" t="inlineStr">
        <is>
          <t>경매 용역 매출</t>
        </is>
      </c>
      <c r="E503" s="4" t="inlineStr">
        <is>
          <t>2025</t>
        </is>
      </c>
      <c r="F503" s="8" t="inlineStr">
        <is>
          <t>K76</t>
        </is>
      </c>
      <c r="G503" s="4">
        <f>'Assumptions'!K41</f>
        <v/>
      </c>
      <c r="H503" s="4" t="inlineStr">
        <is>
          <t>input link</t>
        </is>
      </c>
    </row>
    <row r="504">
      <c r="B504" s="4" t="inlineStr">
        <is>
          <t>Model</t>
        </is>
      </c>
      <c r="C504" s="8" t="inlineStr">
        <is>
          <t>auction_service_sales</t>
        </is>
      </c>
      <c r="D504" s="4" t="inlineStr">
        <is>
          <t>경매 용역 매출</t>
        </is>
      </c>
      <c r="E504" s="4" t="inlineStr">
        <is>
          <t>2026</t>
        </is>
      </c>
      <c r="F504" s="8" t="inlineStr">
        <is>
          <t>L76</t>
        </is>
      </c>
      <c r="G504" s="4">
        <f>'Assumptions'!L41</f>
        <v/>
      </c>
      <c r="H504" s="4" t="inlineStr">
        <is>
          <t>input link</t>
        </is>
      </c>
    </row>
    <row r="505">
      <c r="B505" s="4" t="inlineStr">
        <is>
          <t>Model</t>
        </is>
      </c>
      <c r="C505" s="8" t="inlineStr">
        <is>
          <t>auction_service_sales</t>
        </is>
      </c>
      <c r="D505" s="4" t="inlineStr">
        <is>
          <t>경매 용역 매출</t>
        </is>
      </c>
      <c r="E505" s="4" t="inlineStr">
        <is>
          <t>2027</t>
        </is>
      </c>
      <c r="F505" s="8" t="inlineStr">
        <is>
          <t>M76</t>
        </is>
      </c>
      <c r="G505" s="4">
        <f>'Assumptions'!M41</f>
        <v/>
      </c>
      <c r="H505" s="4" t="inlineStr">
        <is>
          <t>input link</t>
        </is>
      </c>
    </row>
    <row r="506">
      <c r="B506" s="4" t="inlineStr">
        <is>
          <t>Model</t>
        </is>
      </c>
      <c r="C506" s="8" t="inlineStr">
        <is>
          <t>auction_service_sales</t>
        </is>
      </c>
      <c r="D506" s="4" t="inlineStr">
        <is>
          <t>경매 용역 매출</t>
        </is>
      </c>
      <c r="E506" s="4" t="inlineStr">
        <is>
          <t>2028</t>
        </is>
      </c>
      <c r="F506" s="8" t="inlineStr">
        <is>
          <t>N76</t>
        </is>
      </c>
      <c r="G506" s="4">
        <f>'Assumptions'!N41</f>
        <v/>
      </c>
      <c r="H506" s="4" t="inlineStr">
        <is>
          <t>input link</t>
        </is>
      </c>
    </row>
    <row r="507">
      <c r="B507" s="4" t="inlineStr">
        <is>
          <t>Model</t>
        </is>
      </c>
      <c r="C507" s="8" t="inlineStr">
        <is>
          <t>auction_service_sales</t>
        </is>
      </c>
      <c r="D507" s="4" t="inlineStr">
        <is>
          <t>경매 용역 매출</t>
        </is>
      </c>
      <c r="E507" s="4" t="inlineStr">
        <is>
          <t>2029</t>
        </is>
      </c>
      <c r="F507" s="8" t="inlineStr">
        <is>
          <t>O76</t>
        </is>
      </c>
      <c r="G507" s="4">
        <f>'Assumptions'!O41</f>
        <v/>
      </c>
      <c r="H507" s="4" t="inlineStr">
        <is>
          <t>input link</t>
        </is>
      </c>
    </row>
    <row r="508">
      <c r="B508" s="4" t="inlineStr">
        <is>
          <t>Model</t>
        </is>
      </c>
      <c r="C508" s="8" t="inlineStr">
        <is>
          <t>rental_sales</t>
        </is>
      </c>
      <c r="D508" s="4" t="inlineStr">
        <is>
          <t>렌터카 매출</t>
        </is>
      </c>
      <c r="E508" s="4" t="inlineStr">
        <is>
          <t>2023</t>
        </is>
      </c>
      <c r="F508" s="8" t="inlineStr">
        <is>
          <t>I77</t>
        </is>
      </c>
      <c r="G508" s="4">
        <f>(I78+I79)</f>
        <v/>
      </c>
      <c r="H508" s="4" t="inlineStr">
        <is>
          <t>calculation</t>
        </is>
      </c>
    </row>
    <row r="509">
      <c r="B509" s="4" t="inlineStr">
        <is>
          <t>Model</t>
        </is>
      </c>
      <c r="C509" s="8" t="inlineStr">
        <is>
          <t>rental_sales</t>
        </is>
      </c>
      <c r="D509" s="4" t="inlineStr">
        <is>
          <t>렌터카 매출</t>
        </is>
      </c>
      <c r="E509" s="4" t="inlineStr">
        <is>
          <t>2024</t>
        </is>
      </c>
      <c r="F509" s="8" t="inlineStr">
        <is>
          <t>J77</t>
        </is>
      </c>
      <c r="G509" s="4">
        <f>(J78+J79)</f>
        <v/>
      </c>
      <c r="H509" s="4" t="inlineStr">
        <is>
          <t>calculation</t>
        </is>
      </c>
    </row>
    <row r="510">
      <c r="B510" s="4" t="inlineStr">
        <is>
          <t>Model</t>
        </is>
      </c>
      <c r="C510" s="8" t="inlineStr">
        <is>
          <t>rental_sales</t>
        </is>
      </c>
      <c r="D510" s="4" t="inlineStr">
        <is>
          <t>렌터카 매출</t>
        </is>
      </c>
      <c r="E510" s="4" t="inlineStr">
        <is>
          <t>2025</t>
        </is>
      </c>
      <c r="F510" s="8" t="inlineStr">
        <is>
          <t>K77</t>
        </is>
      </c>
      <c r="G510" s="4">
        <f>(K78+K79)</f>
        <v/>
      </c>
      <c r="H510" s="4" t="inlineStr">
        <is>
          <t>calculation</t>
        </is>
      </c>
    </row>
    <row r="511">
      <c r="B511" s="4" t="inlineStr">
        <is>
          <t>Model</t>
        </is>
      </c>
      <c r="C511" s="8" t="inlineStr">
        <is>
          <t>rental_sales</t>
        </is>
      </c>
      <c r="D511" s="4" t="inlineStr">
        <is>
          <t>렌터카 매출</t>
        </is>
      </c>
      <c r="E511" s="4" t="inlineStr">
        <is>
          <t>2026</t>
        </is>
      </c>
      <c r="F511" s="8" t="inlineStr">
        <is>
          <t>L77</t>
        </is>
      </c>
      <c r="G511" s="4">
        <f>(L78+L79)</f>
        <v/>
      </c>
      <c r="H511" s="4" t="inlineStr">
        <is>
          <t>calculation</t>
        </is>
      </c>
    </row>
    <row r="512">
      <c r="B512" s="4" t="inlineStr">
        <is>
          <t>Model</t>
        </is>
      </c>
      <c r="C512" s="8" t="inlineStr">
        <is>
          <t>rental_sales</t>
        </is>
      </c>
      <c r="D512" s="4" t="inlineStr">
        <is>
          <t>렌터카 매출</t>
        </is>
      </c>
      <c r="E512" s="4" t="inlineStr">
        <is>
          <t>2027</t>
        </is>
      </c>
      <c r="F512" s="8" t="inlineStr">
        <is>
          <t>M77</t>
        </is>
      </c>
      <c r="G512" s="4">
        <f>(M78+M79)</f>
        <v/>
      </c>
      <c r="H512" s="4" t="inlineStr">
        <is>
          <t>calculation</t>
        </is>
      </c>
    </row>
    <row r="513">
      <c r="B513" s="4" t="inlineStr">
        <is>
          <t>Model</t>
        </is>
      </c>
      <c r="C513" s="8" t="inlineStr">
        <is>
          <t>rental_sales</t>
        </is>
      </c>
      <c r="D513" s="4" t="inlineStr">
        <is>
          <t>렌터카 매출</t>
        </is>
      </c>
      <c r="E513" s="4" t="inlineStr">
        <is>
          <t>2028</t>
        </is>
      </c>
      <c r="F513" s="8" t="inlineStr">
        <is>
          <t>N77</t>
        </is>
      </c>
      <c r="G513" s="4">
        <f>(N78+N79)</f>
        <v/>
      </c>
      <c r="H513" s="4" t="inlineStr">
        <is>
          <t>calculation</t>
        </is>
      </c>
    </row>
    <row r="514">
      <c r="B514" s="4" t="inlineStr">
        <is>
          <t>Model</t>
        </is>
      </c>
      <c r="C514" s="8" t="inlineStr">
        <is>
          <t>rental_sales</t>
        </is>
      </c>
      <c r="D514" s="4" t="inlineStr">
        <is>
          <t>렌터카 매출</t>
        </is>
      </c>
      <c r="E514" s="4" t="inlineStr">
        <is>
          <t>2029</t>
        </is>
      </c>
      <c r="F514" s="8" t="inlineStr">
        <is>
          <t>O77</t>
        </is>
      </c>
      <c r="G514" s="4">
        <f>(O78+O79)</f>
        <v/>
      </c>
      <c r="H514" s="4" t="inlineStr">
        <is>
          <t>calculation</t>
        </is>
      </c>
    </row>
    <row r="515">
      <c r="B515" s="4" t="inlineStr">
        <is>
          <t>Model</t>
        </is>
      </c>
      <c r="C515" s="8" t="inlineStr">
        <is>
          <t>rental_disposal_sales</t>
        </is>
      </c>
      <c r="D515" s="4" t="inlineStr">
        <is>
          <t>렌터카 매각 매출</t>
        </is>
      </c>
      <c r="E515" s="4" t="inlineStr">
        <is>
          <t>2023</t>
        </is>
      </c>
      <c r="F515" s="8" t="inlineStr">
        <is>
          <t>I78</t>
        </is>
      </c>
      <c r="G515" s="4">
        <f>'Assumptions'!I42</f>
        <v/>
      </c>
      <c r="H515" s="4" t="inlineStr">
        <is>
          <t>input link</t>
        </is>
      </c>
    </row>
    <row r="516">
      <c r="B516" s="4" t="inlineStr">
        <is>
          <t>Model</t>
        </is>
      </c>
      <c r="C516" s="8" t="inlineStr">
        <is>
          <t>rental_disposal_sales</t>
        </is>
      </c>
      <c r="D516" s="4" t="inlineStr">
        <is>
          <t>렌터카 매각 매출</t>
        </is>
      </c>
      <c r="E516" s="4" t="inlineStr">
        <is>
          <t>2024</t>
        </is>
      </c>
      <c r="F516" s="8" t="inlineStr">
        <is>
          <t>J78</t>
        </is>
      </c>
      <c r="G516" s="4">
        <f>'Assumptions'!J42</f>
        <v/>
      </c>
      <c r="H516" s="4" t="inlineStr">
        <is>
          <t>input link</t>
        </is>
      </c>
    </row>
    <row r="517">
      <c r="B517" s="4" t="inlineStr">
        <is>
          <t>Model</t>
        </is>
      </c>
      <c r="C517" s="8" t="inlineStr">
        <is>
          <t>rental_disposal_sales</t>
        </is>
      </c>
      <c r="D517" s="4" t="inlineStr">
        <is>
          <t>렌터카 매각 매출</t>
        </is>
      </c>
      <c r="E517" s="4" t="inlineStr">
        <is>
          <t>2025</t>
        </is>
      </c>
      <c r="F517" s="8" t="inlineStr">
        <is>
          <t>K78</t>
        </is>
      </c>
      <c r="G517" s="4">
        <f>'Assumptions'!K42</f>
        <v/>
      </c>
      <c r="H517" s="4" t="inlineStr">
        <is>
          <t>input link</t>
        </is>
      </c>
    </row>
    <row r="518">
      <c r="B518" s="4" t="inlineStr">
        <is>
          <t>Model</t>
        </is>
      </c>
      <c r="C518" s="8" t="inlineStr">
        <is>
          <t>rental_disposal_sales</t>
        </is>
      </c>
      <c r="D518" s="4" t="inlineStr">
        <is>
          <t>렌터카 매각 매출</t>
        </is>
      </c>
      <c r="E518" s="4" t="inlineStr">
        <is>
          <t>2026</t>
        </is>
      </c>
      <c r="F518" s="8" t="inlineStr">
        <is>
          <t>L78</t>
        </is>
      </c>
      <c r="G518" s="4">
        <f>'Assumptions'!L42</f>
        <v/>
      </c>
      <c r="H518" s="4" t="inlineStr">
        <is>
          <t>input link</t>
        </is>
      </c>
    </row>
    <row r="519">
      <c r="B519" s="4" t="inlineStr">
        <is>
          <t>Model</t>
        </is>
      </c>
      <c r="C519" s="8" t="inlineStr">
        <is>
          <t>rental_disposal_sales</t>
        </is>
      </c>
      <c r="D519" s="4" t="inlineStr">
        <is>
          <t>렌터카 매각 매출</t>
        </is>
      </c>
      <c r="E519" s="4" t="inlineStr">
        <is>
          <t>2027</t>
        </is>
      </c>
      <c r="F519" s="8" t="inlineStr">
        <is>
          <t>M78</t>
        </is>
      </c>
      <c r="G519" s="4">
        <f>'Assumptions'!M42</f>
        <v/>
      </c>
      <c r="H519" s="4" t="inlineStr">
        <is>
          <t>input link</t>
        </is>
      </c>
    </row>
    <row r="520">
      <c r="B520" s="4" t="inlineStr">
        <is>
          <t>Model</t>
        </is>
      </c>
      <c r="C520" s="8" t="inlineStr">
        <is>
          <t>rental_disposal_sales</t>
        </is>
      </c>
      <c r="D520" s="4" t="inlineStr">
        <is>
          <t>렌터카 매각 매출</t>
        </is>
      </c>
      <c r="E520" s="4" t="inlineStr">
        <is>
          <t>2028</t>
        </is>
      </c>
      <c r="F520" s="8" t="inlineStr">
        <is>
          <t>N78</t>
        </is>
      </c>
      <c r="G520" s="4">
        <f>'Assumptions'!N42</f>
        <v/>
      </c>
      <c r="H520" s="4" t="inlineStr">
        <is>
          <t>input link</t>
        </is>
      </c>
    </row>
    <row r="521">
      <c r="B521" s="4" t="inlineStr">
        <is>
          <t>Model</t>
        </is>
      </c>
      <c r="C521" s="8" t="inlineStr">
        <is>
          <t>rental_disposal_sales</t>
        </is>
      </c>
      <c r="D521" s="4" t="inlineStr">
        <is>
          <t>렌터카 매각 매출</t>
        </is>
      </c>
      <c r="E521" s="4" t="inlineStr">
        <is>
          <t>2029</t>
        </is>
      </c>
      <c r="F521" s="8" t="inlineStr">
        <is>
          <t>O78</t>
        </is>
      </c>
      <c r="G521" s="4">
        <f>'Assumptions'!O42</f>
        <v/>
      </c>
      <c r="H521" s="4" t="inlineStr">
        <is>
          <t>input link</t>
        </is>
      </c>
    </row>
    <row r="522">
      <c r="B522" s="4" t="inlineStr">
        <is>
          <t>Model</t>
        </is>
      </c>
      <c r="C522" s="8" t="inlineStr">
        <is>
          <t>longterm_rental_sales</t>
        </is>
      </c>
      <c r="D522" s="4" t="inlineStr">
        <is>
          <t>장기렌트 매출</t>
        </is>
      </c>
      <c r="E522" s="4" t="inlineStr">
        <is>
          <t>2023</t>
        </is>
      </c>
      <c r="F522" s="8" t="inlineStr">
        <is>
          <t>I79</t>
        </is>
      </c>
      <c r="G522" s="4">
        <f>'Assumptions'!I43</f>
        <v/>
      </c>
      <c r="H522" s="4" t="inlineStr">
        <is>
          <t>input link</t>
        </is>
      </c>
    </row>
    <row r="523">
      <c r="B523" s="4" t="inlineStr">
        <is>
          <t>Model</t>
        </is>
      </c>
      <c r="C523" s="8" t="inlineStr">
        <is>
          <t>longterm_rental_sales</t>
        </is>
      </c>
      <c r="D523" s="4" t="inlineStr">
        <is>
          <t>장기렌트 매출</t>
        </is>
      </c>
      <c r="E523" s="4" t="inlineStr">
        <is>
          <t>2024</t>
        </is>
      </c>
      <c r="F523" s="8" t="inlineStr">
        <is>
          <t>J79</t>
        </is>
      </c>
      <c r="G523" s="4">
        <f>'Assumptions'!J43</f>
        <v/>
      </c>
      <c r="H523" s="4" t="inlineStr">
        <is>
          <t>input link</t>
        </is>
      </c>
    </row>
    <row r="524">
      <c r="B524" s="4" t="inlineStr">
        <is>
          <t>Model</t>
        </is>
      </c>
      <c r="C524" s="8" t="inlineStr">
        <is>
          <t>longterm_rental_sales</t>
        </is>
      </c>
      <c r="D524" s="4" t="inlineStr">
        <is>
          <t>장기렌트 매출</t>
        </is>
      </c>
      <c r="E524" s="4" t="inlineStr">
        <is>
          <t>2025</t>
        </is>
      </c>
      <c r="F524" s="8" t="inlineStr">
        <is>
          <t>K79</t>
        </is>
      </c>
      <c r="G524" s="4">
        <f>'Assumptions'!K43</f>
        <v/>
      </c>
      <c r="H524" s="4" t="inlineStr">
        <is>
          <t>input link</t>
        </is>
      </c>
    </row>
    <row r="525">
      <c r="B525" s="4" t="inlineStr">
        <is>
          <t>Model</t>
        </is>
      </c>
      <c r="C525" s="8" t="inlineStr">
        <is>
          <t>longterm_rental_sales</t>
        </is>
      </c>
      <c r="D525" s="4" t="inlineStr">
        <is>
          <t>장기렌트 매출</t>
        </is>
      </c>
      <c r="E525" s="4" t="inlineStr">
        <is>
          <t>2026</t>
        </is>
      </c>
      <c r="F525" s="8" t="inlineStr">
        <is>
          <t>L79</t>
        </is>
      </c>
      <c r="G525" s="4">
        <f>'Assumptions'!L43</f>
        <v/>
      </c>
      <c r="H525" s="4" t="inlineStr">
        <is>
          <t>input link</t>
        </is>
      </c>
    </row>
    <row r="526">
      <c r="B526" s="4" t="inlineStr">
        <is>
          <t>Model</t>
        </is>
      </c>
      <c r="C526" s="8" t="inlineStr">
        <is>
          <t>longterm_rental_sales</t>
        </is>
      </c>
      <c r="D526" s="4" t="inlineStr">
        <is>
          <t>장기렌트 매출</t>
        </is>
      </c>
      <c r="E526" s="4" t="inlineStr">
        <is>
          <t>2027</t>
        </is>
      </c>
      <c r="F526" s="8" t="inlineStr">
        <is>
          <t>M79</t>
        </is>
      </c>
      <c r="G526" s="4">
        <f>'Assumptions'!M43</f>
        <v/>
      </c>
      <c r="H526" s="4" t="inlineStr">
        <is>
          <t>input link</t>
        </is>
      </c>
    </row>
    <row r="527">
      <c r="B527" s="4" t="inlineStr">
        <is>
          <t>Model</t>
        </is>
      </c>
      <c r="C527" s="8" t="inlineStr">
        <is>
          <t>longterm_rental_sales</t>
        </is>
      </c>
      <c r="D527" s="4" t="inlineStr">
        <is>
          <t>장기렌트 매출</t>
        </is>
      </c>
      <c r="E527" s="4" t="inlineStr">
        <is>
          <t>2028</t>
        </is>
      </c>
      <c r="F527" s="8" t="inlineStr">
        <is>
          <t>N79</t>
        </is>
      </c>
      <c r="G527" s="4">
        <f>'Assumptions'!N43</f>
        <v/>
      </c>
      <c r="H527" s="4" t="inlineStr">
        <is>
          <t>input link</t>
        </is>
      </c>
    </row>
    <row r="528">
      <c r="B528" s="4" t="inlineStr">
        <is>
          <t>Model</t>
        </is>
      </c>
      <c r="C528" s="8" t="inlineStr">
        <is>
          <t>longterm_rental_sales</t>
        </is>
      </c>
      <c r="D528" s="4" t="inlineStr">
        <is>
          <t>장기렌트 매출</t>
        </is>
      </c>
      <c r="E528" s="4" t="inlineStr">
        <is>
          <t>2029</t>
        </is>
      </c>
      <c r="F528" s="8" t="inlineStr">
        <is>
          <t>O79</t>
        </is>
      </c>
      <c r="G528" s="4">
        <f>'Assumptions'!O43</f>
        <v/>
      </c>
      <c r="H528" s="4" t="inlineStr">
        <is>
          <t>input link</t>
        </is>
      </c>
    </row>
    <row r="529">
      <c r="B529" s="4" t="inlineStr">
        <is>
          <t>Model</t>
        </is>
      </c>
      <c r="C529" s="8" t="inlineStr">
        <is>
          <t>service_other_sales</t>
        </is>
      </c>
      <c r="D529" s="4" t="inlineStr">
        <is>
          <t>용역 / 기타 매출</t>
        </is>
      </c>
      <c r="E529" s="4" t="inlineStr">
        <is>
          <t>2023</t>
        </is>
      </c>
      <c r="F529" s="8" t="inlineStr">
        <is>
          <t>I80</t>
        </is>
      </c>
      <c r="G529" s="4">
        <f>((I81+I83)+I85)</f>
        <v/>
      </c>
      <c r="H529" s="4" t="inlineStr">
        <is>
          <t>calculation</t>
        </is>
      </c>
    </row>
    <row r="530">
      <c r="B530" s="4" t="inlineStr">
        <is>
          <t>Model</t>
        </is>
      </c>
      <c r="C530" s="8" t="inlineStr">
        <is>
          <t>service_other_sales</t>
        </is>
      </c>
      <c r="D530" s="4" t="inlineStr">
        <is>
          <t>용역 / 기타 매출</t>
        </is>
      </c>
      <c r="E530" s="4" t="inlineStr">
        <is>
          <t>2024</t>
        </is>
      </c>
      <c r="F530" s="8" t="inlineStr">
        <is>
          <t>J80</t>
        </is>
      </c>
      <c r="G530" s="4">
        <f>((J81+J83)+J85)</f>
        <v/>
      </c>
      <c r="H530" s="4" t="inlineStr">
        <is>
          <t>calculation</t>
        </is>
      </c>
    </row>
    <row r="531">
      <c r="B531" s="4" t="inlineStr">
        <is>
          <t>Model</t>
        </is>
      </c>
      <c r="C531" s="8" t="inlineStr">
        <is>
          <t>service_other_sales</t>
        </is>
      </c>
      <c r="D531" s="4" t="inlineStr">
        <is>
          <t>용역 / 기타 매출</t>
        </is>
      </c>
      <c r="E531" s="4" t="inlineStr">
        <is>
          <t>2025</t>
        </is>
      </c>
      <c r="F531" s="8" t="inlineStr">
        <is>
          <t>K80</t>
        </is>
      </c>
      <c r="G531" s="4">
        <f>((K81+K83)+K85)</f>
        <v/>
      </c>
      <c r="H531" s="4" t="inlineStr">
        <is>
          <t>calculation</t>
        </is>
      </c>
    </row>
    <row r="532">
      <c r="B532" s="4" t="inlineStr">
        <is>
          <t>Model</t>
        </is>
      </c>
      <c r="C532" s="8" t="inlineStr">
        <is>
          <t>service_other_sales</t>
        </is>
      </c>
      <c r="D532" s="4" t="inlineStr">
        <is>
          <t>용역 / 기타 매출</t>
        </is>
      </c>
      <c r="E532" s="4" t="inlineStr">
        <is>
          <t>2026</t>
        </is>
      </c>
      <c r="F532" s="8" t="inlineStr">
        <is>
          <t>L80</t>
        </is>
      </c>
      <c r="G532" s="4">
        <f>((L81+L83)+L85)</f>
        <v/>
      </c>
      <c r="H532" s="4" t="inlineStr">
        <is>
          <t>calculation</t>
        </is>
      </c>
    </row>
    <row r="533">
      <c r="B533" s="4" t="inlineStr">
        <is>
          <t>Model</t>
        </is>
      </c>
      <c r="C533" s="8" t="inlineStr">
        <is>
          <t>service_other_sales</t>
        </is>
      </c>
      <c r="D533" s="4" t="inlineStr">
        <is>
          <t>용역 / 기타 매출</t>
        </is>
      </c>
      <c r="E533" s="4" t="inlineStr">
        <is>
          <t>2027</t>
        </is>
      </c>
      <c r="F533" s="8" t="inlineStr">
        <is>
          <t>M80</t>
        </is>
      </c>
      <c r="G533" s="4">
        <f>((M81+M83)+M85)</f>
        <v/>
      </c>
      <c r="H533" s="4" t="inlineStr">
        <is>
          <t>calculation</t>
        </is>
      </c>
    </row>
    <row r="534">
      <c r="B534" s="4" t="inlineStr">
        <is>
          <t>Model</t>
        </is>
      </c>
      <c r="C534" s="8" t="inlineStr">
        <is>
          <t>service_other_sales</t>
        </is>
      </c>
      <c r="D534" s="4" t="inlineStr">
        <is>
          <t>용역 / 기타 매출</t>
        </is>
      </c>
      <c r="E534" s="4" t="inlineStr">
        <is>
          <t>2028</t>
        </is>
      </c>
      <c r="F534" s="8" t="inlineStr">
        <is>
          <t>N80</t>
        </is>
      </c>
      <c r="G534" s="4">
        <f>((N81+N83)+N85)</f>
        <v/>
      </c>
      <c r="H534" s="4" t="inlineStr">
        <is>
          <t>calculation</t>
        </is>
      </c>
    </row>
    <row r="535">
      <c r="B535" s="4" t="inlineStr">
        <is>
          <t>Model</t>
        </is>
      </c>
      <c r="C535" s="8" t="inlineStr">
        <is>
          <t>service_other_sales</t>
        </is>
      </c>
      <c r="D535" s="4" t="inlineStr">
        <is>
          <t>용역 / 기타 매출</t>
        </is>
      </c>
      <c r="E535" s="4" t="inlineStr">
        <is>
          <t>2029</t>
        </is>
      </c>
      <c r="F535" s="8" t="inlineStr">
        <is>
          <t>O80</t>
        </is>
      </c>
      <c r="G535" s="4">
        <f>((O81+O83)+O85)</f>
        <v/>
      </c>
      <c r="H535" s="4" t="inlineStr">
        <is>
          <t>calculation</t>
        </is>
      </c>
    </row>
    <row r="536">
      <c r="B536" s="4" t="inlineStr">
        <is>
          <t>Model</t>
        </is>
      </c>
      <c r="C536" s="8" t="inlineStr">
        <is>
          <t>ecommerce_service_sales</t>
        </is>
      </c>
      <c r="D536" s="4" t="inlineStr">
        <is>
          <t>이커머스 용역 매출</t>
        </is>
      </c>
      <c r="E536" s="4" t="inlineStr">
        <is>
          <t>2023</t>
        </is>
      </c>
      <c r="F536" s="8" t="inlineStr">
        <is>
          <t>I81</t>
        </is>
      </c>
      <c r="G536" s="4">
        <f>(I8*I82)</f>
        <v/>
      </c>
      <c r="H536" s="4" t="inlineStr">
        <is>
          <t>calculation</t>
        </is>
      </c>
    </row>
    <row r="537">
      <c r="B537" s="4" t="inlineStr">
        <is>
          <t>Model</t>
        </is>
      </c>
      <c r="C537" s="8" t="inlineStr">
        <is>
          <t>ecommerce_service_sales</t>
        </is>
      </c>
      <c r="D537" s="4" t="inlineStr">
        <is>
          <t>이커머스 용역 매출</t>
        </is>
      </c>
      <c r="E537" s="4" t="inlineStr">
        <is>
          <t>2024</t>
        </is>
      </c>
      <c r="F537" s="8" t="inlineStr">
        <is>
          <t>J81</t>
        </is>
      </c>
      <c r="G537" s="4">
        <f>(J8*J82)</f>
        <v/>
      </c>
      <c r="H537" s="4" t="inlineStr">
        <is>
          <t>calculation</t>
        </is>
      </c>
    </row>
    <row r="538">
      <c r="B538" s="4" t="inlineStr">
        <is>
          <t>Model</t>
        </is>
      </c>
      <c r="C538" s="8" t="inlineStr">
        <is>
          <t>ecommerce_service_sales</t>
        </is>
      </c>
      <c r="D538" s="4" t="inlineStr">
        <is>
          <t>이커머스 용역 매출</t>
        </is>
      </c>
      <c r="E538" s="4" t="inlineStr">
        <is>
          <t>2025</t>
        </is>
      </c>
      <c r="F538" s="8" t="inlineStr">
        <is>
          <t>K81</t>
        </is>
      </c>
      <c r="G538" s="4">
        <f>(K8*K82)</f>
        <v/>
      </c>
      <c r="H538" s="4" t="inlineStr">
        <is>
          <t>calculation</t>
        </is>
      </c>
    </row>
    <row r="539">
      <c r="B539" s="4" t="inlineStr">
        <is>
          <t>Model</t>
        </is>
      </c>
      <c r="C539" s="8" t="inlineStr">
        <is>
          <t>ecommerce_service_sales</t>
        </is>
      </c>
      <c r="D539" s="4" t="inlineStr">
        <is>
          <t>이커머스 용역 매출</t>
        </is>
      </c>
      <c r="E539" s="4" t="inlineStr">
        <is>
          <t>2026</t>
        </is>
      </c>
      <c r="F539" s="8" t="inlineStr">
        <is>
          <t>L81</t>
        </is>
      </c>
      <c r="G539" s="4">
        <f>(L8*L82)</f>
        <v/>
      </c>
      <c r="H539" s="4" t="inlineStr">
        <is>
          <t>calculation</t>
        </is>
      </c>
    </row>
    <row r="540">
      <c r="B540" s="4" t="inlineStr">
        <is>
          <t>Model</t>
        </is>
      </c>
      <c r="C540" s="8" t="inlineStr">
        <is>
          <t>ecommerce_service_sales</t>
        </is>
      </c>
      <c r="D540" s="4" t="inlineStr">
        <is>
          <t>이커머스 용역 매출</t>
        </is>
      </c>
      <c r="E540" s="4" t="inlineStr">
        <is>
          <t>2027</t>
        </is>
      </c>
      <c r="F540" s="8" t="inlineStr">
        <is>
          <t>M81</t>
        </is>
      </c>
      <c r="G540" s="4">
        <f>(M8*M82)</f>
        <v/>
      </c>
      <c r="H540" s="4" t="inlineStr">
        <is>
          <t>calculation</t>
        </is>
      </c>
    </row>
    <row r="541">
      <c r="B541" s="4" t="inlineStr">
        <is>
          <t>Model</t>
        </is>
      </c>
      <c r="C541" s="8" t="inlineStr">
        <is>
          <t>ecommerce_service_sales</t>
        </is>
      </c>
      <c r="D541" s="4" t="inlineStr">
        <is>
          <t>이커머스 용역 매출</t>
        </is>
      </c>
      <c r="E541" s="4" t="inlineStr">
        <is>
          <t>2028</t>
        </is>
      </c>
      <c r="F541" s="8" t="inlineStr">
        <is>
          <t>N81</t>
        </is>
      </c>
      <c r="G541" s="4">
        <f>(N8*N82)</f>
        <v/>
      </c>
      <c r="H541" s="4" t="inlineStr">
        <is>
          <t>calculation</t>
        </is>
      </c>
    </row>
    <row r="542">
      <c r="B542" s="4" t="inlineStr">
        <is>
          <t>Model</t>
        </is>
      </c>
      <c r="C542" s="8" t="inlineStr">
        <is>
          <t>ecommerce_service_sales</t>
        </is>
      </c>
      <c r="D542" s="4" t="inlineStr">
        <is>
          <t>이커머스 용역 매출</t>
        </is>
      </c>
      <c r="E542" s="4" t="inlineStr">
        <is>
          <t>2029</t>
        </is>
      </c>
      <c r="F542" s="8" t="inlineStr">
        <is>
          <t>O81</t>
        </is>
      </c>
      <c r="G542" s="4">
        <f>(O8*O82)</f>
        <v/>
      </c>
      <c r="H542" s="4" t="inlineStr">
        <is>
          <t>calculation</t>
        </is>
      </c>
    </row>
    <row r="543">
      <c r="B543" s="4" t="inlineStr">
        <is>
          <t>Model</t>
        </is>
      </c>
      <c r="C543" s="8" t="inlineStr">
        <is>
          <t>ecommerce_service_rate</t>
        </is>
      </c>
      <c r="D543" s="4" t="inlineStr">
        <is>
          <t>이커머스 용역 매출률</t>
        </is>
      </c>
      <c r="E543" s="4" t="inlineStr">
        <is>
          <t>2023</t>
        </is>
      </c>
      <c r="F543" s="8" t="inlineStr">
        <is>
          <t>I82</t>
        </is>
      </c>
      <c r="G543" s="4">
        <f>'Assumptions'!I44</f>
        <v/>
      </c>
      <c r="H543" s="4" t="inlineStr">
        <is>
          <t>input link</t>
        </is>
      </c>
    </row>
    <row r="544">
      <c r="B544" s="4" t="inlineStr">
        <is>
          <t>Model</t>
        </is>
      </c>
      <c r="C544" s="8" t="inlineStr">
        <is>
          <t>ecommerce_service_rate</t>
        </is>
      </c>
      <c r="D544" s="4" t="inlineStr">
        <is>
          <t>이커머스 용역 매출률</t>
        </is>
      </c>
      <c r="E544" s="4" t="inlineStr">
        <is>
          <t>2024</t>
        </is>
      </c>
      <c r="F544" s="8" t="inlineStr">
        <is>
          <t>J82</t>
        </is>
      </c>
      <c r="G544" s="4">
        <f>'Assumptions'!J44</f>
        <v/>
      </c>
      <c r="H544" s="4" t="inlineStr">
        <is>
          <t>input link</t>
        </is>
      </c>
    </row>
    <row r="545">
      <c r="B545" s="4" t="inlineStr">
        <is>
          <t>Model</t>
        </is>
      </c>
      <c r="C545" s="8" t="inlineStr">
        <is>
          <t>ecommerce_service_rate</t>
        </is>
      </c>
      <c r="D545" s="4" t="inlineStr">
        <is>
          <t>이커머스 용역 매출률</t>
        </is>
      </c>
      <c r="E545" s="4" t="inlineStr">
        <is>
          <t>2025</t>
        </is>
      </c>
      <c r="F545" s="8" t="inlineStr">
        <is>
          <t>K82</t>
        </is>
      </c>
      <c r="G545" s="4">
        <f>'Assumptions'!K44</f>
        <v/>
      </c>
      <c r="H545" s="4" t="inlineStr">
        <is>
          <t>input link</t>
        </is>
      </c>
    </row>
    <row r="546">
      <c r="B546" s="4" t="inlineStr">
        <is>
          <t>Model</t>
        </is>
      </c>
      <c r="C546" s="8" t="inlineStr">
        <is>
          <t>ecommerce_service_rate</t>
        </is>
      </c>
      <c r="D546" s="4" t="inlineStr">
        <is>
          <t>이커머스 용역 매출률</t>
        </is>
      </c>
      <c r="E546" s="4" t="inlineStr">
        <is>
          <t>2026</t>
        </is>
      </c>
      <c r="F546" s="8" t="inlineStr">
        <is>
          <t>L82</t>
        </is>
      </c>
      <c r="G546" s="4">
        <f>'Assumptions'!L44</f>
        <v/>
      </c>
      <c r="H546" s="4" t="inlineStr">
        <is>
          <t>input link</t>
        </is>
      </c>
    </row>
    <row r="547">
      <c r="B547" s="4" t="inlineStr">
        <is>
          <t>Model</t>
        </is>
      </c>
      <c r="C547" s="8" t="inlineStr">
        <is>
          <t>ecommerce_service_rate</t>
        </is>
      </c>
      <c r="D547" s="4" t="inlineStr">
        <is>
          <t>이커머스 용역 매출률</t>
        </is>
      </c>
      <c r="E547" s="4" t="inlineStr">
        <is>
          <t>2027</t>
        </is>
      </c>
      <c r="F547" s="8" t="inlineStr">
        <is>
          <t>M82</t>
        </is>
      </c>
      <c r="G547" s="4">
        <f>'Assumptions'!M44</f>
        <v/>
      </c>
      <c r="H547" s="4" t="inlineStr">
        <is>
          <t>input link</t>
        </is>
      </c>
    </row>
    <row r="548">
      <c r="B548" s="4" t="inlineStr">
        <is>
          <t>Model</t>
        </is>
      </c>
      <c r="C548" s="8" t="inlineStr">
        <is>
          <t>ecommerce_service_rate</t>
        </is>
      </c>
      <c r="D548" s="4" t="inlineStr">
        <is>
          <t>이커머스 용역 매출률</t>
        </is>
      </c>
      <c r="E548" s="4" t="inlineStr">
        <is>
          <t>2028</t>
        </is>
      </c>
      <c r="F548" s="8" t="inlineStr">
        <is>
          <t>N82</t>
        </is>
      </c>
      <c r="G548" s="4">
        <f>'Assumptions'!N44</f>
        <v/>
      </c>
      <c r="H548" s="4" t="inlineStr">
        <is>
          <t>input link</t>
        </is>
      </c>
    </row>
    <row r="549">
      <c r="B549" s="4" t="inlineStr">
        <is>
          <t>Model</t>
        </is>
      </c>
      <c r="C549" s="8" t="inlineStr">
        <is>
          <t>ecommerce_service_rate</t>
        </is>
      </c>
      <c r="D549" s="4" t="inlineStr">
        <is>
          <t>이커머스 용역 매출률</t>
        </is>
      </c>
      <c r="E549" s="4" t="inlineStr">
        <is>
          <t>2029</t>
        </is>
      </c>
      <c r="F549" s="8" t="inlineStr">
        <is>
          <t>O82</t>
        </is>
      </c>
      <c r="G549" s="4">
        <f>'Assumptions'!O44</f>
        <v/>
      </c>
      <c r="H549" s="4" t="inlineStr">
        <is>
          <t>input link</t>
        </is>
      </c>
    </row>
    <row r="550">
      <c r="B550" s="4" t="inlineStr">
        <is>
          <t>Model</t>
        </is>
      </c>
      <c r="C550" s="8" t="inlineStr">
        <is>
          <t>branch_service_sales</t>
        </is>
      </c>
      <c r="D550" s="4" t="inlineStr">
        <is>
          <t>지점내방 용역 매출</t>
        </is>
      </c>
      <c r="E550" s="4" t="inlineStr">
        <is>
          <t>2023</t>
        </is>
      </c>
      <c r="F550" s="8" t="inlineStr">
        <is>
          <t>I83</t>
        </is>
      </c>
      <c r="G550" s="4">
        <f>(I44*I84)</f>
        <v/>
      </c>
      <c r="H550" s="4" t="inlineStr">
        <is>
          <t>calculation</t>
        </is>
      </c>
    </row>
    <row r="551">
      <c r="B551" s="4" t="inlineStr">
        <is>
          <t>Model</t>
        </is>
      </c>
      <c r="C551" s="8" t="inlineStr">
        <is>
          <t>branch_service_sales</t>
        </is>
      </c>
      <c r="D551" s="4" t="inlineStr">
        <is>
          <t>지점내방 용역 매출</t>
        </is>
      </c>
      <c r="E551" s="4" t="inlineStr">
        <is>
          <t>2024</t>
        </is>
      </c>
      <c r="F551" s="8" t="inlineStr">
        <is>
          <t>J83</t>
        </is>
      </c>
      <c r="G551" s="4">
        <f>(J44*J84)</f>
        <v/>
      </c>
      <c r="H551" s="4" t="inlineStr">
        <is>
          <t>calculation</t>
        </is>
      </c>
    </row>
    <row r="552">
      <c r="B552" s="4" t="inlineStr">
        <is>
          <t>Model</t>
        </is>
      </c>
      <c r="C552" s="8" t="inlineStr">
        <is>
          <t>branch_service_sales</t>
        </is>
      </c>
      <c r="D552" s="4" t="inlineStr">
        <is>
          <t>지점내방 용역 매출</t>
        </is>
      </c>
      <c r="E552" s="4" t="inlineStr">
        <is>
          <t>2025</t>
        </is>
      </c>
      <c r="F552" s="8" t="inlineStr">
        <is>
          <t>K83</t>
        </is>
      </c>
      <c r="G552" s="4">
        <f>(K44*K84)</f>
        <v/>
      </c>
      <c r="H552" s="4" t="inlineStr">
        <is>
          <t>calculation</t>
        </is>
      </c>
    </row>
    <row r="553">
      <c r="B553" s="4" t="inlineStr">
        <is>
          <t>Model</t>
        </is>
      </c>
      <c r="C553" s="8" t="inlineStr">
        <is>
          <t>branch_service_sales</t>
        </is>
      </c>
      <c r="D553" s="4" t="inlineStr">
        <is>
          <t>지점내방 용역 매출</t>
        </is>
      </c>
      <c r="E553" s="4" t="inlineStr">
        <is>
          <t>2026</t>
        </is>
      </c>
      <c r="F553" s="8" t="inlineStr">
        <is>
          <t>L83</t>
        </is>
      </c>
      <c r="G553" s="4">
        <f>(L44*L84)</f>
        <v/>
      </c>
      <c r="H553" s="4" t="inlineStr">
        <is>
          <t>calculation</t>
        </is>
      </c>
    </row>
    <row r="554">
      <c r="B554" s="4" t="inlineStr">
        <is>
          <t>Model</t>
        </is>
      </c>
      <c r="C554" s="8" t="inlineStr">
        <is>
          <t>branch_service_sales</t>
        </is>
      </c>
      <c r="D554" s="4" t="inlineStr">
        <is>
          <t>지점내방 용역 매출</t>
        </is>
      </c>
      <c r="E554" s="4" t="inlineStr">
        <is>
          <t>2027</t>
        </is>
      </c>
      <c r="F554" s="8" t="inlineStr">
        <is>
          <t>M83</t>
        </is>
      </c>
      <c r="G554" s="4">
        <f>(M44*M84)</f>
        <v/>
      </c>
      <c r="H554" s="4" t="inlineStr">
        <is>
          <t>calculation</t>
        </is>
      </c>
    </row>
    <row r="555">
      <c r="B555" s="4" t="inlineStr">
        <is>
          <t>Model</t>
        </is>
      </c>
      <c r="C555" s="8" t="inlineStr">
        <is>
          <t>branch_service_sales</t>
        </is>
      </c>
      <c r="D555" s="4" t="inlineStr">
        <is>
          <t>지점내방 용역 매출</t>
        </is>
      </c>
      <c r="E555" s="4" t="inlineStr">
        <is>
          <t>2028</t>
        </is>
      </c>
      <c r="F555" s="8" t="inlineStr">
        <is>
          <t>N83</t>
        </is>
      </c>
      <c r="G555" s="4">
        <f>(N44*N84)</f>
        <v/>
      </c>
      <c r="H555" s="4" t="inlineStr">
        <is>
          <t>calculation</t>
        </is>
      </c>
    </row>
    <row r="556">
      <c r="B556" s="4" t="inlineStr">
        <is>
          <t>Model</t>
        </is>
      </c>
      <c r="C556" s="8" t="inlineStr">
        <is>
          <t>branch_service_sales</t>
        </is>
      </c>
      <c r="D556" s="4" t="inlineStr">
        <is>
          <t>지점내방 용역 매출</t>
        </is>
      </c>
      <c r="E556" s="4" t="inlineStr">
        <is>
          <t>2029</t>
        </is>
      </c>
      <c r="F556" s="8" t="inlineStr">
        <is>
          <t>O83</t>
        </is>
      </c>
      <c r="G556" s="4">
        <f>(O44*O84)</f>
        <v/>
      </c>
      <c r="H556" s="4" t="inlineStr">
        <is>
          <t>calculation</t>
        </is>
      </c>
    </row>
    <row r="557">
      <c r="B557" s="4" t="inlineStr">
        <is>
          <t>Model</t>
        </is>
      </c>
      <c r="C557" s="8" t="inlineStr">
        <is>
          <t>branch_service_rate</t>
        </is>
      </c>
      <c r="D557" s="4" t="inlineStr">
        <is>
          <t>지점내방 용역 매출률</t>
        </is>
      </c>
      <c r="E557" s="4" t="inlineStr">
        <is>
          <t>2023</t>
        </is>
      </c>
      <c r="F557" s="8" t="inlineStr">
        <is>
          <t>I84</t>
        </is>
      </c>
      <c r="G557" s="4">
        <f>'Assumptions'!I45</f>
        <v/>
      </c>
      <c r="H557" s="4" t="inlineStr">
        <is>
          <t>input link</t>
        </is>
      </c>
    </row>
    <row r="558">
      <c r="B558" s="4" t="inlineStr">
        <is>
          <t>Model</t>
        </is>
      </c>
      <c r="C558" s="8" t="inlineStr">
        <is>
          <t>branch_service_rate</t>
        </is>
      </c>
      <c r="D558" s="4" t="inlineStr">
        <is>
          <t>지점내방 용역 매출률</t>
        </is>
      </c>
      <c r="E558" s="4" t="inlineStr">
        <is>
          <t>2024</t>
        </is>
      </c>
      <c r="F558" s="8" t="inlineStr">
        <is>
          <t>J84</t>
        </is>
      </c>
      <c r="G558" s="4">
        <f>'Assumptions'!J45</f>
        <v/>
      </c>
      <c r="H558" s="4" t="inlineStr">
        <is>
          <t>input link</t>
        </is>
      </c>
    </row>
    <row r="559">
      <c r="B559" s="4" t="inlineStr">
        <is>
          <t>Model</t>
        </is>
      </c>
      <c r="C559" s="8" t="inlineStr">
        <is>
          <t>branch_service_rate</t>
        </is>
      </c>
      <c r="D559" s="4" t="inlineStr">
        <is>
          <t>지점내방 용역 매출률</t>
        </is>
      </c>
      <c r="E559" s="4" t="inlineStr">
        <is>
          <t>2025</t>
        </is>
      </c>
      <c r="F559" s="8" t="inlineStr">
        <is>
          <t>K84</t>
        </is>
      </c>
      <c r="G559" s="4">
        <f>'Assumptions'!K45</f>
        <v/>
      </c>
      <c r="H559" s="4" t="inlineStr">
        <is>
          <t>input link</t>
        </is>
      </c>
    </row>
    <row r="560">
      <c r="B560" s="4" t="inlineStr">
        <is>
          <t>Model</t>
        </is>
      </c>
      <c r="C560" s="8" t="inlineStr">
        <is>
          <t>branch_service_rate</t>
        </is>
      </c>
      <c r="D560" s="4" t="inlineStr">
        <is>
          <t>지점내방 용역 매출률</t>
        </is>
      </c>
      <c r="E560" s="4" t="inlineStr">
        <is>
          <t>2026</t>
        </is>
      </c>
      <c r="F560" s="8" t="inlineStr">
        <is>
          <t>L84</t>
        </is>
      </c>
      <c r="G560" s="4">
        <f>'Assumptions'!L45</f>
        <v/>
      </c>
      <c r="H560" s="4" t="inlineStr">
        <is>
          <t>input link</t>
        </is>
      </c>
    </row>
    <row r="561">
      <c r="B561" s="4" t="inlineStr">
        <is>
          <t>Model</t>
        </is>
      </c>
      <c r="C561" s="8" t="inlineStr">
        <is>
          <t>branch_service_rate</t>
        </is>
      </c>
      <c r="D561" s="4" t="inlineStr">
        <is>
          <t>지점내방 용역 매출률</t>
        </is>
      </c>
      <c r="E561" s="4" t="inlineStr">
        <is>
          <t>2027</t>
        </is>
      </c>
      <c r="F561" s="8" t="inlineStr">
        <is>
          <t>M84</t>
        </is>
      </c>
      <c r="G561" s="4">
        <f>'Assumptions'!M45</f>
        <v/>
      </c>
      <c r="H561" s="4" t="inlineStr">
        <is>
          <t>input link</t>
        </is>
      </c>
    </row>
    <row r="562">
      <c r="B562" s="4" t="inlineStr">
        <is>
          <t>Model</t>
        </is>
      </c>
      <c r="C562" s="8" t="inlineStr">
        <is>
          <t>branch_service_rate</t>
        </is>
      </c>
      <c r="D562" s="4" t="inlineStr">
        <is>
          <t>지점내방 용역 매출률</t>
        </is>
      </c>
      <c r="E562" s="4" t="inlineStr">
        <is>
          <t>2028</t>
        </is>
      </c>
      <c r="F562" s="8" t="inlineStr">
        <is>
          <t>N84</t>
        </is>
      </c>
      <c r="G562" s="4">
        <f>'Assumptions'!N45</f>
        <v/>
      </c>
      <c r="H562" s="4" t="inlineStr">
        <is>
          <t>input link</t>
        </is>
      </c>
    </row>
    <row r="563">
      <c r="B563" s="4" t="inlineStr">
        <is>
          <t>Model</t>
        </is>
      </c>
      <c r="C563" s="8" t="inlineStr">
        <is>
          <t>branch_service_rate</t>
        </is>
      </c>
      <c r="D563" s="4" t="inlineStr">
        <is>
          <t>지점내방 용역 매출률</t>
        </is>
      </c>
      <c r="E563" s="4" t="inlineStr">
        <is>
          <t>2029</t>
        </is>
      </c>
      <c r="F563" s="8" t="inlineStr">
        <is>
          <t>O84</t>
        </is>
      </c>
      <c r="G563" s="4">
        <f>'Assumptions'!O45</f>
        <v/>
      </c>
      <c r="H563" s="4" t="inlineStr">
        <is>
          <t>input link</t>
        </is>
      </c>
    </row>
    <row r="564">
      <c r="B564" s="4" t="inlineStr">
        <is>
          <t>Model</t>
        </is>
      </c>
      <c r="C564" s="8" t="inlineStr">
        <is>
          <t>other_sales</t>
        </is>
      </c>
      <c r="D564" s="4" t="inlineStr">
        <is>
          <t>기타 매출</t>
        </is>
      </c>
      <c r="E564" s="4" t="inlineStr">
        <is>
          <t>2023</t>
        </is>
      </c>
      <c r="F564" s="8" t="inlineStr">
        <is>
          <t>I85</t>
        </is>
      </c>
      <c r="G564" s="4">
        <f>'Assumptions'!I46</f>
        <v/>
      </c>
      <c r="H564" s="4" t="inlineStr">
        <is>
          <t>input link</t>
        </is>
      </c>
    </row>
    <row r="565">
      <c r="B565" s="4" t="inlineStr">
        <is>
          <t>Model</t>
        </is>
      </c>
      <c r="C565" s="8" t="inlineStr">
        <is>
          <t>other_sales</t>
        </is>
      </c>
      <c r="D565" s="4" t="inlineStr">
        <is>
          <t>기타 매출</t>
        </is>
      </c>
      <c r="E565" s="4" t="inlineStr">
        <is>
          <t>2024</t>
        </is>
      </c>
      <c r="F565" s="8" t="inlineStr">
        <is>
          <t>J85</t>
        </is>
      </c>
      <c r="G565" s="4">
        <f>'Assumptions'!J46</f>
        <v/>
      </c>
      <c r="H565" s="4" t="inlineStr">
        <is>
          <t>input link</t>
        </is>
      </c>
    </row>
    <row r="566">
      <c r="B566" s="4" t="inlineStr">
        <is>
          <t>Model</t>
        </is>
      </c>
      <c r="C566" s="8" t="inlineStr">
        <is>
          <t>other_sales</t>
        </is>
      </c>
      <c r="D566" s="4" t="inlineStr">
        <is>
          <t>기타 매출</t>
        </is>
      </c>
      <c r="E566" s="4" t="inlineStr">
        <is>
          <t>2025</t>
        </is>
      </c>
      <c r="F566" s="8" t="inlineStr">
        <is>
          <t>K85</t>
        </is>
      </c>
      <c r="G566" s="4">
        <f>'Assumptions'!K46</f>
        <v/>
      </c>
      <c r="H566" s="4" t="inlineStr">
        <is>
          <t>input link</t>
        </is>
      </c>
    </row>
    <row r="567">
      <c r="B567" s="4" t="inlineStr">
        <is>
          <t>Model</t>
        </is>
      </c>
      <c r="C567" s="8" t="inlineStr">
        <is>
          <t>other_sales</t>
        </is>
      </c>
      <c r="D567" s="4" t="inlineStr">
        <is>
          <t>기타 매출</t>
        </is>
      </c>
      <c r="E567" s="4" t="inlineStr">
        <is>
          <t>2026</t>
        </is>
      </c>
      <c r="F567" s="8" t="inlineStr">
        <is>
          <t>L85</t>
        </is>
      </c>
      <c r="G567" s="4">
        <f>'Assumptions'!L46</f>
        <v/>
      </c>
      <c r="H567" s="4" t="inlineStr">
        <is>
          <t>input link</t>
        </is>
      </c>
    </row>
    <row r="568">
      <c r="B568" s="4" t="inlineStr">
        <is>
          <t>Model</t>
        </is>
      </c>
      <c r="C568" s="8" t="inlineStr">
        <is>
          <t>other_sales</t>
        </is>
      </c>
      <c r="D568" s="4" t="inlineStr">
        <is>
          <t>기타 매출</t>
        </is>
      </c>
      <c r="E568" s="4" t="inlineStr">
        <is>
          <t>2027</t>
        </is>
      </c>
      <c r="F568" s="8" t="inlineStr">
        <is>
          <t>M85</t>
        </is>
      </c>
      <c r="G568" s="4">
        <f>'Assumptions'!M46</f>
        <v/>
      </c>
      <c r="H568" s="4" t="inlineStr">
        <is>
          <t>input link</t>
        </is>
      </c>
    </row>
    <row r="569">
      <c r="B569" s="4" t="inlineStr">
        <is>
          <t>Model</t>
        </is>
      </c>
      <c r="C569" s="8" t="inlineStr">
        <is>
          <t>other_sales</t>
        </is>
      </c>
      <c r="D569" s="4" t="inlineStr">
        <is>
          <t>기타 매출</t>
        </is>
      </c>
      <c r="E569" s="4" t="inlineStr">
        <is>
          <t>2028</t>
        </is>
      </c>
      <c r="F569" s="8" t="inlineStr">
        <is>
          <t>N85</t>
        </is>
      </c>
      <c r="G569" s="4">
        <f>'Assumptions'!N46</f>
        <v/>
      </c>
      <c r="H569" s="4" t="inlineStr">
        <is>
          <t>input link</t>
        </is>
      </c>
    </row>
    <row r="570">
      <c r="B570" s="4" t="inlineStr">
        <is>
          <t>Model</t>
        </is>
      </c>
      <c r="C570" s="8" t="inlineStr">
        <is>
          <t>other_sales</t>
        </is>
      </c>
      <c r="D570" s="4" t="inlineStr">
        <is>
          <t>기타 매출</t>
        </is>
      </c>
      <c r="E570" s="4" t="inlineStr">
        <is>
          <t>2029</t>
        </is>
      </c>
      <c r="F570" s="8" t="inlineStr">
        <is>
          <t>O85</t>
        </is>
      </c>
      <c r="G570" s="4">
        <f>'Assumptions'!O46</f>
        <v/>
      </c>
      <c r="H570" s="4" t="inlineStr">
        <is>
          <t>input link</t>
        </is>
      </c>
    </row>
    <row r="571">
      <c r="B571" s="4" t="inlineStr">
        <is>
          <t>Model</t>
        </is>
      </c>
      <c r="C571" s="8" t="inlineStr">
        <is>
          <t>total_cost</t>
        </is>
      </c>
      <c r="D571" s="4" t="inlineStr">
        <is>
          <t>비용 합계</t>
        </is>
      </c>
      <c r="E571" s="4" t="inlineStr">
        <is>
          <t>2023</t>
        </is>
      </c>
      <c r="F571" s="8" t="inlineStr">
        <is>
          <t>I86</t>
        </is>
      </c>
      <c r="G571" s="4">
        <f>SUM(I87,I89,I91,I93,I95,I96,I99)</f>
        <v/>
      </c>
      <c r="H571" s="4" t="inlineStr">
        <is>
          <t>calculation</t>
        </is>
      </c>
    </row>
    <row r="572">
      <c r="B572" s="4" t="inlineStr">
        <is>
          <t>Model</t>
        </is>
      </c>
      <c r="C572" s="8" t="inlineStr">
        <is>
          <t>total_cost</t>
        </is>
      </c>
      <c r="D572" s="4" t="inlineStr">
        <is>
          <t>비용 합계</t>
        </is>
      </c>
      <c r="E572" s="4" t="inlineStr">
        <is>
          <t>2024</t>
        </is>
      </c>
      <c r="F572" s="8" t="inlineStr">
        <is>
          <t>J86</t>
        </is>
      </c>
      <c r="G572" s="4">
        <f>SUM(J87,J89,J91,J93,J95,J96,J99)</f>
        <v/>
      </c>
      <c r="H572" s="4" t="inlineStr">
        <is>
          <t>calculation</t>
        </is>
      </c>
    </row>
    <row r="573">
      <c r="B573" s="4" t="inlineStr">
        <is>
          <t>Model</t>
        </is>
      </c>
      <c r="C573" s="8" t="inlineStr">
        <is>
          <t>total_cost</t>
        </is>
      </c>
      <c r="D573" s="4" t="inlineStr">
        <is>
          <t>비용 합계</t>
        </is>
      </c>
      <c r="E573" s="4" t="inlineStr">
        <is>
          <t>2025</t>
        </is>
      </c>
      <c r="F573" s="8" t="inlineStr">
        <is>
          <t>K86</t>
        </is>
      </c>
      <c r="G573" s="4">
        <f>SUM(K87,K89,K91,K93,K95,K96,K99)</f>
        <v/>
      </c>
      <c r="H573" s="4" t="inlineStr">
        <is>
          <t>calculation</t>
        </is>
      </c>
    </row>
    <row r="574">
      <c r="B574" s="4" t="inlineStr">
        <is>
          <t>Model</t>
        </is>
      </c>
      <c r="C574" s="8" t="inlineStr">
        <is>
          <t>total_cost</t>
        </is>
      </c>
      <c r="D574" s="4" t="inlineStr">
        <is>
          <t>비용 합계</t>
        </is>
      </c>
      <c r="E574" s="4" t="inlineStr">
        <is>
          <t>2026</t>
        </is>
      </c>
      <c r="F574" s="8" t="inlineStr">
        <is>
          <t>L86</t>
        </is>
      </c>
      <c r="G574" s="4">
        <f>SUM(L87,L89,L91,L93,L95,L96,L99)</f>
        <v/>
      </c>
      <c r="H574" s="4" t="inlineStr">
        <is>
          <t>calculation</t>
        </is>
      </c>
    </row>
    <row r="575">
      <c r="B575" s="4" t="inlineStr">
        <is>
          <t>Model</t>
        </is>
      </c>
      <c r="C575" s="8" t="inlineStr">
        <is>
          <t>total_cost</t>
        </is>
      </c>
      <c r="D575" s="4" t="inlineStr">
        <is>
          <t>비용 합계</t>
        </is>
      </c>
      <c r="E575" s="4" t="inlineStr">
        <is>
          <t>2027</t>
        </is>
      </c>
      <c r="F575" s="8" t="inlineStr">
        <is>
          <t>M86</t>
        </is>
      </c>
      <c r="G575" s="4">
        <f>SUM(M87,M89,M91,M93,M95,M96,M99)</f>
        <v/>
      </c>
      <c r="H575" s="4" t="inlineStr">
        <is>
          <t>calculation</t>
        </is>
      </c>
    </row>
    <row r="576">
      <c r="B576" s="4" t="inlineStr">
        <is>
          <t>Model</t>
        </is>
      </c>
      <c r="C576" s="8" t="inlineStr">
        <is>
          <t>total_cost</t>
        </is>
      </c>
      <c r="D576" s="4" t="inlineStr">
        <is>
          <t>비용 합계</t>
        </is>
      </c>
      <c r="E576" s="4" t="inlineStr">
        <is>
          <t>2028</t>
        </is>
      </c>
      <c r="F576" s="8" t="inlineStr">
        <is>
          <t>N86</t>
        </is>
      </c>
      <c r="G576" s="4">
        <f>SUM(N87,N89,N91,N93,N95,N96,N99)</f>
        <v/>
      </c>
      <c r="H576" s="4" t="inlineStr">
        <is>
          <t>calculation</t>
        </is>
      </c>
    </row>
    <row r="577">
      <c r="B577" s="4" t="inlineStr">
        <is>
          <t>Model</t>
        </is>
      </c>
      <c r="C577" s="8" t="inlineStr">
        <is>
          <t>total_cost</t>
        </is>
      </c>
      <c r="D577" s="4" t="inlineStr">
        <is>
          <t>비용 합계</t>
        </is>
      </c>
      <c r="E577" s="4" t="inlineStr">
        <is>
          <t>2029</t>
        </is>
      </c>
      <c r="F577" s="8" t="inlineStr">
        <is>
          <t>O86</t>
        </is>
      </c>
      <c r="G577" s="4">
        <f>SUM(O87,O89,O91,O93,O95,O96,O99)</f>
        <v/>
      </c>
      <c r="H577" s="4" t="inlineStr">
        <is>
          <t>calculation</t>
        </is>
      </c>
    </row>
    <row r="578">
      <c r="B578" s="4" t="inlineStr">
        <is>
          <t>Model</t>
        </is>
      </c>
      <c r="C578" s="8" t="inlineStr">
        <is>
          <t>inventory_cost</t>
        </is>
      </c>
      <c r="D578" s="4" t="inlineStr">
        <is>
          <t>재고자산원가</t>
        </is>
      </c>
      <c r="E578" s="4" t="inlineStr">
        <is>
          <t>2023</t>
        </is>
      </c>
      <c r="F578" s="8" t="inlineStr">
        <is>
          <t>I87</t>
        </is>
      </c>
      <c r="G578" s="4">
        <f>(I73*I88)</f>
        <v/>
      </c>
      <c r="H578" s="4" t="inlineStr">
        <is>
          <t>calculation</t>
        </is>
      </c>
    </row>
    <row r="579">
      <c r="B579" s="4" t="inlineStr">
        <is>
          <t>Model</t>
        </is>
      </c>
      <c r="C579" s="8" t="inlineStr">
        <is>
          <t>inventory_cost</t>
        </is>
      </c>
      <c r="D579" s="4" t="inlineStr">
        <is>
          <t>재고자산원가</t>
        </is>
      </c>
      <c r="E579" s="4" t="inlineStr">
        <is>
          <t>2024</t>
        </is>
      </c>
      <c r="F579" s="8" t="inlineStr">
        <is>
          <t>J87</t>
        </is>
      </c>
      <c r="G579" s="4">
        <f>(J73*J88)</f>
        <v/>
      </c>
      <c r="H579" s="4" t="inlineStr">
        <is>
          <t>calculation</t>
        </is>
      </c>
    </row>
    <row r="580">
      <c r="B580" s="4" t="inlineStr">
        <is>
          <t>Model</t>
        </is>
      </c>
      <c r="C580" s="8" t="inlineStr">
        <is>
          <t>inventory_cost</t>
        </is>
      </c>
      <c r="D580" s="4" t="inlineStr">
        <is>
          <t>재고자산원가</t>
        </is>
      </c>
      <c r="E580" s="4" t="inlineStr">
        <is>
          <t>2025</t>
        </is>
      </c>
      <c r="F580" s="8" t="inlineStr">
        <is>
          <t>K87</t>
        </is>
      </c>
      <c r="G580" s="4">
        <f>(K73*K88)</f>
        <v/>
      </c>
      <c r="H580" s="4" t="inlineStr">
        <is>
          <t>calculation</t>
        </is>
      </c>
    </row>
    <row r="581">
      <c r="B581" s="4" t="inlineStr">
        <is>
          <t>Model</t>
        </is>
      </c>
      <c r="C581" s="8" t="inlineStr">
        <is>
          <t>inventory_cost</t>
        </is>
      </c>
      <c r="D581" s="4" t="inlineStr">
        <is>
          <t>재고자산원가</t>
        </is>
      </c>
      <c r="E581" s="4" t="inlineStr">
        <is>
          <t>2026</t>
        </is>
      </c>
      <c r="F581" s="8" t="inlineStr">
        <is>
          <t>L87</t>
        </is>
      </c>
      <c r="G581" s="4">
        <f>(L73*L88)</f>
        <v/>
      </c>
      <c r="H581" s="4" t="inlineStr">
        <is>
          <t>calculation</t>
        </is>
      </c>
    </row>
    <row r="582">
      <c r="B582" s="4" t="inlineStr">
        <is>
          <t>Model</t>
        </is>
      </c>
      <c r="C582" s="8" t="inlineStr">
        <is>
          <t>inventory_cost</t>
        </is>
      </c>
      <c r="D582" s="4" t="inlineStr">
        <is>
          <t>재고자산원가</t>
        </is>
      </c>
      <c r="E582" s="4" t="inlineStr">
        <is>
          <t>2027</t>
        </is>
      </c>
      <c r="F582" s="8" t="inlineStr">
        <is>
          <t>M87</t>
        </is>
      </c>
      <c r="G582" s="4">
        <f>(M73*M88)</f>
        <v/>
      </c>
      <c r="H582" s="4" t="inlineStr">
        <is>
          <t>calculation</t>
        </is>
      </c>
    </row>
    <row r="583">
      <c r="B583" s="4" t="inlineStr">
        <is>
          <t>Model</t>
        </is>
      </c>
      <c r="C583" s="8" t="inlineStr">
        <is>
          <t>inventory_cost</t>
        </is>
      </c>
      <c r="D583" s="4" t="inlineStr">
        <is>
          <t>재고자산원가</t>
        </is>
      </c>
      <c r="E583" s="4" t="inlineStr">
        <is>
          <t>2028</t>
        </is>
      </c>
      <c r="F583" s="8" t="inlineStr">
        <is>
          <t>N87</t>
        </is>
      </c>
      <c r="G583" s="4">
        <f>(N73*N88)</f>
        <v/>
      </c>
      <c r="H583" s="4" t="inlineStr">
        <is>
          <t>calculation</t>
        </is>
      </c>
    </row>
    <row r="584">
      <c r="B584" s="4" t="inlineStr">
        <is>
          <t>Model</t>
        </is>
      </c>
      <c r="C584" s="8" t="inlineStr">
        <is>
          <t>inventory_cost</t>
        </is>
      </c>
      <c r="D584" s="4" t="inlineStr">
        <is>
          <t>재고자산원가</t>
        </is>
      </c>
      <c r="E584" s="4" t="inlineStr">
        <is>
          <t>2029</t>
        </is>
      </c>
      <c r="F584" s="8" t="inlineStr">
        <is>
          <t>O87</t>
        </is>
      </c>
      <c r="G584" s="4">
        <f>(O73*O88)</f>
        <v/>
      </c>
      <c r="H584" s="4" t="inlineStr">
        <is>
          <t>calculation</t>
        </is>
      </c>
    </row>
    <row r="585">
      <c r="B585" s="4" t="inlineStr">
        <is>
          <t>Model</t>
        </is>
      </c>
      <c r="C585" s="8" t="inlineStr">
        <is>
          <t>unit_inventory_cost</t>
        </is>
      </c>
      <c r="D585" s="4" t="inlineStr">
        <is>
          <t>중고차 1대당 원가</t>
        </is>
      </c>
      <c r="E585" s="4" t="inlineStr">
        <is>
          <t>2023</t>
        </is>
      </c>
      <c r="F585" s="8" t="inlineStr">
        <is>
          <t>I88</t>
        </is>
      </c>
      <c r="G585" s="4">
        <f>'Assumptions'!I47</f>
        <v/>
      </c>
      <c r="H585" s="4" t="inlineStr">
        <is>
          <t>input link</t>
        </is>
      </c>
    </row>
    <row r="586">
      <c r="B586" s="4" t="inlineStr">
        <is>
          <t>Model</t>
        </is>
      </c>
      <c r="C586" s="8" t="inlineStr">
        <is>
          <t>unit_inventory_cost</t>
        </is>
      </c>
      <c r="D586" s="4" t="inlineStr">
        <is>
          <t>중고차 1대당 원가</t>
        </is>
      </c>
      <c r="E586" s="4" t="inlineStr">
        <is>
          <t>2024</t>
        </is>
      </c>
      <c r="F586" s="8" t="inlineStr">
        <is>
          <t>J88</t>
        </is>
      </c>
      <c r="G586" s="4">
        <f>'Assumptions'!J47</f>
        <v/>
      </c>
      <c r="H586" s="4" t="inlineStr">
        <is>
          <t>input link</t>
        </is>
      </c>
    </row>
    <row r="587">
      <c r="B587" s="4" t="inlineStr">
        <is>
          <t>Model</t>
        </is>
      </c>
      <c r="C587" s="8" t="inlineStr">
        <is>
          <t>unit_inventory_cost</t>
        </is>
      </c>
      <c r="D587" s="4" t="inlineStr">
        <is>
          <t>중고차 1대당 원가</t>
        </is>
      </c>
      <c r="E587" s="4" t="inlineStr">
        <is>
          <t>2025</t>
        </is>
      </c>
      <c r="F587" s="8" t="inlineStr">
        <is>
          <t>K88</t>
        </is>
      </c>
      <c r="G587" s="4">
        <f>'Assumptions'!K47</f>
        <v/>
      </c>
      <c r="H587" s="4" t="inlineStr">
        <is>
          <t>input link</t>
        </is>
      </c>
    </row>
    <row r="588">
      <c r="B588" s="4" t="inlineStr">
        <is>
          <t>Model</t>
        </is>
      </c>
      <c r="C588" s="8" t="inlineStr">
        <is>
          <t>unit_inventory_cost</t>
        </is>
      </c>
      <c r="D588" s="4" t="inlineStr">
        <is>
          <t>중고차 1대당 원가</t>
        </is>
      </c>
      <c r="E588" s="4" t="inlineStr">
        <is>
          <t>2026</t>
        </is>
      </c>
      <c r="F588" s="8" t="inlineStr">
        <is>
          <t>L88</t>
        </is>
      </c>
      <c r="G588" s="4">
        <f>'Assumptions'!L47</f>
        <v/>
      </c>
      <c r="H588" s="4" t="inlineStr">
        <is>
          <t>input link</t>
        </is>
      </c>
    </row>
    <row r="589">
      <c r="B589" s="4" t="inlineStr">
        <is>
          <t>Model</t>
        </is>
      </c>
      <c r="C589" s="8" t="inlineStr">
        <is>
          <t>unit_inventory_cost</t>
        </is>
      </c>
      <c r="D589" s="4" t="inlineStr">
        <is>
          <t>중고차 1대당 원가</t>
        </is>
      </c>
      <c r="E589" s="4" t="inlineStr">
        <is>
          <t>2027</t>
        </is>
      </c>
      <c r="F589" s="8" t="inlineStr">
        <is>
          <t>M88</t>
        </is>
      </c>
      <c r="G589" s="4">
        <f>'Assumptions'!M47</f>
        <v/>
      </c>
      <c r="H589" s="4" t="inlineStr">
        <is>
          <t>input link</t>
        </is>
      </c>
    </row>
    <row r="590">
      <c r="B590" s="4" t="inlineStr">
        <is>
          <t>Model</t>
        </is>
      </c>
      <c r="C590" s="8" t="inlineStr">
        <is>
          <t>unit_inventory_cost</t>
        </is>
      </c>
      <c r="D590" s="4" t="inlineStr">
        <is>
          <t>중고차 1대당 원가</t>
        </is>
      </c>
      <c r="E590" s="4" t="inlineStr">
        <is>
          <t>2028</t>
        </is>
      </c>
      <c r="F590" s="8" t="inlineStr">
        <is>
          <t>N88</t>
        </is>
      </c>
      <c r="G590" s="4">
        <f>'Assumptions'!N47</f>
        <v/>
      </c>
      <c r="H590" s="4" t="inlineStr">
        <is>
          <t>input link</t>
        </is>
      </c>
    </row>
    <row r="591">
      <c r="B591" s="4" t="inlineStr">
        <is>
          <t>Model</t>
        </is>
      </c>
      <c r="C591" s="8" t="inlineStr">
        <is>
          <t>unit_inventory_cost</t>
        </is>
      </c>
      <c r="D591" s="4" t="inlineStr">
        <is>
          <t>중고차 1대당 원가</t>
        </is>
      </c>
      <c r="E591" s="4" t="inlineStr">
        <is>
          <t>2029</t>
        </is>
      </c>
      <c r="F591" s="8" t="inlineStr">
        <is>
          <t>O88</t>
        </is>
      </c>
      <c r="G591" s="4">
        <f>'Assumptions'!O47</f>
        <v/>
      </c>
      <c r="H591" s="4" t="inlineStr">
        <is>
          <t>input link</t>
        </is>
      </c>
    </row>
    <row r="592">
      <c r="B592" s="4" t="inlineStr">
        <is>
          <t>Model</t>
        </is>
      </c>
      <c r="C592" s="8" t="inlineStr">
        <is>
          <t>warranty_cost</t>
        </is>
      </c>
      <c r="D592" s="4" t="inlineStr">
        <is>
          <t>판매보증비</t>
        </is>
      </c>
      <c r="E592" s="4" t="inlineStr">
        <is>
          <t>2023</t>
        </is>
      </c>
      <c r="F592" s="8" t="inlineStr">
        <is>
          <t>I89</t>
        </is>
      </c>
      <c r="G592" s="4">
        <f>(I73*I90)</f>
        <v/>
      </c>
      <c r="H592" s="4" t="inlineStr">
        <is>
          <t>calculation</t>
        </is>
      </c>
    </row>
    <row r="593">
      <c r="B593" s="4" t="inlineStr">
        <is>
          <t>Model</t>
        </is>
      </c>
      <c r="C593" s="8" t="inlineStr">
        <is>
          <t>warranty_cost</t>
        </is>
      </c>
      <c r="D593" s="4" t="inlineStr">
        <is>
          <t>판매보증비</t>
        </is>
      </c>
      <c r="E593" s="4" t="inlineStr">
        <is>
          <t>2024</t>
        </is>
      </c>
      <c r="F593" s="8" t="inlineStr">
        <is>
          <t>J89</t>
        </is>
      </c>
      <c r="G593" s="4">
        <f>(J73*J90)</f>
        <v/>
      </c>
      <c r="H593" s="4" t="inlineStr">
        <is>
          <t>calculation</t>
        </is>
      </c>
    </row>
    <row r="594">
      <c r="B594" s="4" t="inlineStr">
        <is>
          <t>Model</t>
        </is>
      </c>
      <c r="C594" s="8" t="inlineStr">
        <is>
          <t>warranty_cost</t>
        </is>
      </c>
      <c r="D594" s="4" t="inlineStr">
        <is>
          <t>판매보증비</t>
        </is>
      </c>
      <c r="E594" s="4" t="inlineStr">
        <is>
          <t>2025</t>
        </is>
      </c>
      <c r="F594" s="8" t="inlineStr">
        <is>
          <t>K89</t>
        </is>
      </c>
      <c r="G594" s="4">
        <f>(K73*K90)</f>
        <v/>
      </c>
      <c r="H594" s="4" t="inlineStr">
        <is>
          <t>calculation</t>
        </is>
      </c>
    </row>
    <row r="595">
      <c r="B595" s="4" t="inlineStr">
        <is>
          <t>Model</t>
        </is>
      </c>
      <c r="C595" s="8" t="inlineStr">
        <is>
          <t>warranty_cost</t>
        </is>
      </c>
      <c r="D595" s="4" t="inlineStr">
        <is>
          <t>판매보증비</t>
        </is>
      </c>
      <c r="E595" s="4" t="inlineStr">
        <is>
          <t>2026</t>
        </is>
      </c>
      <c r="F595" s="8" t="inlineStr">
        <is>
          <t>L89</t>
        </is>
      </c>
      <c r="G595" s="4">
        <f>(L73*L90)</f>
        <v/>
      </c>
      <c r="H595" s="4" t="inlineStr">
        <is>
          <t>calculation</t>
        </is>
      </c>
    </row>
    <row r="596">
      <c r="B596" s="4" t="inlineStr">
        <is>
          <t>Model</t>
        </is>
      </c>
      <c r="C596" s="8" t="inlineStr">
        <is>
          <t>warranty_cost</t>
        </is>
      </c>
      <c r="D596" s="4" t="inlineStr">
        <is>
          <t>판매보증비</t>
        </is>
      </c>
      <c r="E596" s="4" t="inlineStr">
        <is>
          <t>2027</t>
        </is>
      </c>
      <c r="F596" s="8" t="inlineStr">
        <is>
          <t>M89</t>
        </is>
      </c>
      <c r="G596" s="4">
        <f>(M73*M90)</f>
        <v/>
      </c>
      <c r="H596" s="4" t="inlineStr">
        <is>
          <t>calculation</t>
        </is>
      </c>
    </row>
    <row r="597">
      <c r="B597" s="4" t="inlineStr">
        <is>
          <t>Model</t>
        </is>
      </c>
      <c r="C597" s="8" t="inlineStr">
        <is>
          <t>warranty_cost</t>
        </is>
      </c>
      <c r="D597" s="4" t="inlineStr">
        <is>
          <t>판매보증비</t>
        </is>
      </c>
      <c r="E597" s="4" t="inlineStr">
        <is>
          <t>2028</t>
        </is>
      </c>
      <c r="F597" s="8" t="inlineStr">
        <is>
          <t>N89</t>
        </is>
      </c>
      <c r="G597" s="4">
        <f>(N73*N90)</f>
        <v/>
      </c>
      <c r="H597" s="4" t="inlineStr">
        <is>
          <t>calculation</t>
        </is>
      </c>
    </row>
    <row r="598">
      <c r="B598" s="4" t="inlineStr">
        <is>
          <t>Model</t>
        </is>
      </c>
      <c r="C598" s="8" t="inlineStr">
        <is>
          <t>warranty_cost</t>
        </is>
      </c>
      <c r="D598" s="4" t="inlineStr">
        <is>
          <t>판매보증비</t>
        </is>
      </c>
      <c r="E598" s="4" t="inlineStr">
        <is>
          <t>2029</t>
        </is>
      </c>
      <c r="F598" s="8" t="inlineStr">
        <is>
          <t>O89</t>
        </is>
      </c>
      <c r="G598" s="4">
        <f>(O73*O90)</f>
        <v/>
      </c>
      <c r="H598" s="4" t="inlineStr">
        <is>
          <t>calculation</t>
        </is>
      </c>
    </row>
    <row r="599">
      <c r="B599" s="4" t="inlineStr">
        <is>
          <t>Model</t>
        </is>
      </c>
      <c r="C599" s="8" t="inlineStr">
        <is>
          <t>warranty_cost_per_unit</t>
        </is>
      </c>
      <c r="D599" s="4" t="inlineStr">
        <is>
          <t>대당 보증비</t>
        </is>
      </c>
      <c r="E599" s="4" t="inlineStr">
        <is>
          <t>2023</t>
        </is>
      </c>
      <c r="F599" s="8" t="inlineStr">
        <is>
          <t>I90</t>
        </is>
      </c>
      <c r="G599" s="4">
        <f>'Assumptions'!I48</f>
        <v/>
      </c>
      <c r="H599" s="4" t="inlineStr">
        <is>
          <t>input link</t>
        </is>
      </c>
    </row>
    <row r="600">
      <c r="B600" s="4" t="inlineStr">
        <is>
          <t>Model</t>
        </is>
      </c>
      <c r="C600" s="8" t="inlineStr">
        <is>
          <t>warranty_cost_per_unit</t>
        </is>
      </c>
      <c r="D600" s="4" t="inlineStr">
        <is>
          <t>대당 보증비</t>
        </is>
      </c>
      <c r="E600" s="4" t="inlineStr">
        <is>
          <t>2024</t>
        </is>
      </c>
      <c r="F600" s="8" t="inlineStr">
        <is>
          <t>J90</t>
        </is>
      </c>
      <c r="G600" s="4">
        <f>'Assumptions'!J48</f>
        <v/>
      </c>
      <c r="H600" s="4" t="inlineStr">
        <is>
          <t>input link</t>
        </is>
      </c>
    </row>
    <row r="601">
      <c r="B601" s="4" t="inlineStr">
        <is>
          <t>Model</t>
        </is>
      </c>
      <c r="C601" s="8" t="inlineStr">
        <is>
          <t>warranty_cost_per_unit</t>
        </is>
      </c>
      <c r="D601" s="4" t="inlineStr">
        <is>
          <t>대당 보증비</t>
        </is>
      </c>
      <c r="E601" s="4" t="inlineStr">
        <is>
          <t>2025</t>
        </is>
      </c>
      <c r="F601" s="8" t="inlineStr">
        <is>
          <t>K90</t>
        </is>
      </c>
      <c r="G601" s="4">
        <f>'Assumptions'!K48</f>
        <v/>
      </c>
      <c r="H601" s="4" t="inlineStr">
        <is>
          <t>input link</t>
        </is>
      </c>
    </row>
    <row r="602">
      <c r="B602" s="4" t="inlineStr">
        <is>
          <t>Model</t>
        </is>
      </c>
      <c r="C602" s="8" t="inlineStr">
        <is>
          <t>warranty_cost_per_unit</t>
        </is>
      </c>
      <c r="D602" s="4" t="inlineStr">
        <is>
          <t>대당 보증비</t>
        </is>
      </c>
      <c r="E602" s="4" t="inlineStr">
        <is>
          <t>2026</t>
        </is>
      </c>
      <c r="F602" s="8" t="inlineStr">
        <is>
          <t>L90</t>
        </is>
      </c>
      <c r="G602" s="4">
        <f>'Assumptions'!L48</f>
        <v/>
      </c>
      <c r="H602" s="4" t="inlineStr">
        <is>
          <t>input link</t>
        </is>
      </c>
    </row>
    <row r="603">
      <c r="B603" s="4" t="inlineStr">
        <is>
          <t>Model</t>
        </is>
      </c>
      <c r="C603" s="8" t="inlineStr">
        <is>
          <t>warranty_cost_per_unit</t>
        </is>
      </c>
      <c r="D603" s="4" t="inlineStr">
        <is>
          <t>대당 보증비</t>
        </is>
      </c>
      <c r="E603" s="4" t="inlineStr">
        <is>
          <t>2027</t>
        </is>
      </c>
      <c r="F603" s="8" t="inlineStr">
        <is>
          <t>M90</t>
        </is>
      </c>
      <c r="G603" s="4">
        <f>'Assumptions'!M48</f>
        <v/>
      </c>
      <c r="H603" s="4" t="inlineStr">
        <is>
          <t>input link</t>
        </is>
      </c>
    </row>
    <row r="604">
      <c r="B604" s="4" t="inlineStr">
        <is>
          <t>Model</t>
        </is>
      </c>
      <c r="C604" s="8" t="inlineStr">
        <is>
          <t>warranty_cost_per_unit</t>
        </is>
      </c>
      <c r="D604" s="4" t="inlineStr">
        <is>
          <t>대당 보증비</t>
        </is>
      </c>
      <c r="E604" s="4" t="inlineStr">
        <is>
          <t>2028</t>
        </is>
      </c>
      <c r="F604" s="8" t="inlineStr">
        <is>
          <t>N90</t>
        </is>
      </c>
      <c r="G604" s="4">
        <f>'Assumptions'!N48</f>
        <v/>
      </c>
      <c r="H604" s="4" t="inlineStr">
        <is>
          <t>input link</t>
        </is>
      </c>
    </row>
    <row r="605">
      <c r="B605" s="4" t="inlineStr">
        <is>
          <t>Model</t>
        </is>
      </c>
      <c r="C605" s="8" t="inlineStr">
        <is>
          <t>warranty_cost_per_unit</t>
        </is>
      </c>
      <c r="D605" s="4" t="inlineStr">
        <is>
          <t>대당 보증비</t>
        </is>
      </c>
      <c r="E605" s="4" t="inlineStr">
        <is>
          <t>2029</t>
        </is>
      </c>
      <c r="F605" s="8" t="inlineStr">
        <is>
          <t>O90</t>
        </is>
      </c>
      <c r="G605" s="4">
        <f>'Assumptions'!O48</f>
        <v/>
      </c>
      <c r="H605" s="4" t="inlineStr">
        <is>
          <t>input link</t>
        </is>
      </c>
    </row>
    <row r="606">
      <c r="B606" s="4" t="inlineStr">
        <is>
          <t>Model</t>
        </is>
      </c>
      <c r="C606" s="8" t="inlineStr">
        <is>
          <t>rental_car_cost</t>
        </is>
      </c>
      <c r="D606" s="4" t="inlineStr">
        <is>
          <t>차량매각원가</t>
        </is>
      </c>
      <c r="E606" s="4" t="inlineStr">
        <is>
          <t>2023</t>
        </is>
      </c>
      <c r="F606" s="8" t="inlineStr">
        <is>
          <t>I91</t>
        </is>
      </c>
      <c r="G606" s="4">
        <f>(I78*I92)</f>
        <v/>
      </c>
      <c r="H606" s="4" t="inlineStr">
        <is>
          <t>calculation</t>
        </is>
      </c>
    </row>
    <row r="607">
      <c r="B607" s="4" t="inlineStr">
        <is>
          <t>Model</t>
        </is>
      </c>
      <c r="C607" s="8" t="inlineStr">
        <is>
          <t>rental_car_cost</t>
        </is>
      </c>
      <c r="D607" s="4" t="inlineStr">
        <is>
          <t>차량매각원가</t>
        </is>
      </c>
      <c r="E607" s="4" t="inlineStr">
        <is>
          <t>2024</t>
        </is>
      </c>
      <c r="F607" s="8" t="inlineStr">
        <is>
          <t>J91</t>
        </is>
      </c>
      <c r="G607" s="4">
        <f>(J78*J92)</f>
        <v/>
      </c>
      <c r="H607" s="4" t="inlineStr">
        <is>
          <t>calculation</t>
        </is>
      </c>
    </row>
    <row r="608">
      <c r="B608" s="4" t="inlineStr">
        <is>
          <t>Model</t>
        </is>
      </c>
      <c r="C608" s="8" t="inlineStr">
        <is>
          <t>rental_car_cost</t>
        </is>
      </c>
      <c r="D608" s="4" t="inlineStr">
        <is>
          <t>차량매각원가</t>
        </is>
      </c>
      <c r="E608" s="4" t="inlineStr">
        <is>
          <t>2025</t>
        </is>
      </c>
      <c r="F608" s="8" t="inlineStr">
        <is>
          <t>K91</t>
        </is>
      </c>
      <c r="G608" s="4">
        <f>(K78*K92)</f>
        <v/>
      </c>
      <c r="H608" s="4" t="inlineStr">
        <is>
          <t>calculation</t>
        </is>
      </c>
    </row>
    <row r="609">
      <c r="B609" s="4" t="inlineStr">
        <is>
          <t>Model</t>
        </is>
      </c>
      <c r="C609" s="8" t="inlineStr">
        <is>
          <t>rental_car_cost</t>
        </is>
      </c>
      <c r="D609" s="4" t="inlineStr">
        <is>
          <t>차량매각원가</t>
        </is>
      </c>
      <c r="E609" s="4" t="inlineStr">
        <is>
          <t>2026</t>
        </is>
      </c>
      <c r="F609" s="8" t="inlineStr">
        <is>
          <t>L91</t>
        </is>
      </c>
      <c r="G609" s="4">
        <f>(L78*L92)</f>
        <v/>
      </c>
      <c r="H609" s="4" t="inlineStr">
        <is>
          <t>calculation</t>
        </is>
      </c>
    </row>
    <row r="610">
      <c r="B610" s="4" t="inlineStr">
        <is>
          <t>Model</t>
        </is>
      </c>
      <c r="C610" s="8" t="inlineStr">
        <is>
          <t>rental_car_cost</t>
        </is>
      </c>
      <c r="D610" s="4" t="inlineStr">
        <is>
          <t>차량매각원가</t>
        </is>
      </c>
      <c r="E610" s="4" t="inlineStr">
        <is>
          <t>2027</t>
        </is>
      </c>
      <c r="F610" s="8" t="inlineStr">
        <is>
          <t>M91</t>
        </is>
      </c>
      <c r="G610" s="4">
        <f>(M78*M92)</f>
        <v/>
      </c>
      <c r="H610" s="4" t="inlineStr">
        <is>
          <t>calculation</t>
        </is>
      </c>
    </row>
    <row r="611">
      <c r="B611" s="4" t="inlineStr">
        <is>
          <t>Model</t>
        </is>
      </c>
      <c r="C611" s="8" t="inlineStr">
        <is>
          <t>rental_car_cost</t>
        </is>
      </c>
      <c r="D611" s="4" t="inlineStr">
        <is>
          <t>차량매각원가</t>
        </is>
      </c>
      <c r="E611" s="4" t="inlineStr">
        <is>
          <t>2028</t>
        </is>
      </c>
      <c r="F611" s="8" t="inlineStr">
        <is>
          <t>N91</t>
        </is>
      </c>
      <c r="G611" s="4">
        <f>(N78*N92)</f>
        <v/>
      </c>
      <c r="H611" s="4" t="inlineStr">
        <is>
          <t>calculation</t>
        </is>
      </c>
    </row>
    <row r="612">
      <c r="B612" s="4" t="inlineStr">
        <is>
          <t>Model</t>
        </is>
      </c>
      <c r="C612" s="8" t="inlineStr">
        <is>
          <t>rental_car_cost</t>
        </is>
      </c>
      <c r="D612" s="4" t="inlineStr">
        <is>
          <t>차량매각원가</t>
        </is>
      </c>
      <c r="E612" s="4" t="inlineStr">
        <is>
          <t>2029</t>
        </is>
      </c>
      <c r="F612" s="8" t="inlineStr">
        <is>
          <t>O91</t>
        </is>
      </c>
      <c r="G612" s="4">
        <f>(O78*O92)</f>
        <v/>
      </c>
      <c r="H612" s="4" t="inlineStr">
        <is>
          <t>calculation</t>
        </is>
      </c>
    </row>
    <row r="613">
      <c r="B613" s="4" t="inlineStr">
        <is>
          <t>Model</t>
        </is>
      </c>
      <c r="C613" s="8" t="inlineStr">
        <is>
          <t>rental_disposal_cost_rate</t>
        </is>
      </c>
      <c r="D613" s="4" t="inlineStr">
        <is>
          <t>차량매각원가율</t>
        </is>
      </c>
      <c r="E613" s="4" t="inlineStr">
        <is>
          <t>2023</t>
        </is>
      </c>
      <c r="F613" s="8" t="inlineStr">
        <is>
          <t>I92</t>
        </is>
      </c>
      <c r="G613" s="4">
        <f>'Assumptions'!I49</f>
        <v/>
      </c>
      <c r="H613" s="4" t="inlineStr">
        <is>
          <t>input link</t>
        </is>
      </c>
    </row>
    <row r="614">
      <c r="B614" s="4" t="inlineStr">
        <is>
          <t>Model</t>
        </is>
      </c>
      <c r="C614" s="8" t="inlineStr">
        <is>
          <t>rental_disposal_cost_rate</t>
        </is>
      </c>
      <c r="D614" s="4" t="inlineStr">
        <is>
          <t>차량매각원가율</t>
        </is>
      </c>
      <c r="E614" s="4" t="inlineStr">
        <is>
          <t>2024</t>
        </is>
      </c>
      <c r="F614" s="8" t="inlineStr">
        <is>
          <t>J92</t>
        </is>
      </c>
      <c r="G614" s="4">
        <f>'Assumptions'!J49</f>
        <v/>
      </c>
      <c r="H614" s="4" t="inlineStr">
        <is>
          <t>input link</t>
        </is>
      </c>
    </row>
    <row r="615">
      <c r="B615" s="4" t="inlineStr">
        <is>
          <t>Model</t>
        </is>
      </c>
      <c r="C615" s="8" t="inlineStr">
        <is>
          <t>rental_disposal_cost_rate</t>
        </is>
      </c>
      <c r="D615" s="4" t="inlineStr">
        <is>
          <t>차량매각원가율</t>
        </is>
      </c>
      <c r="E615" s="4" t="inlineStr">
        <is>
          <t>2025</t>
        </is>
      </c>
      <c r="F615" s="8" t="inlineStr">
        <is>
          <t>K92</t>
        </is>
      </c>
      <c r="G615" s="4">
        <f>'Assumptions'!K49</f>
        <v/>
      </c>
      <c r="H615" s="4" t="inlineStr">
        <is>
          <t>input link</t>
        </is>
      </c>
    </row>
    <row r="616">
      <c r="B616" s="4" t="inlineStr">
        <is>
          <t>Model</t>
        </is>
      </c>
      <c r="C616" s="8" t="inlineStr">
        <is>
          <t>rental_disposal_cost_rate</t>
        </is>
      </c>
      <c r="D616" s="4" t="inlineStr">
        <is>
          <t>차량매각원가율</t>
        </is>
      </c>
      <c r="E616" s="4" t="inlineStr">
        <is>
          <t>2026</t>
        </is>
      </c>
      <c r="F616" s="8" t="inlineStr">
        <is>
          <t>L92</t>
        </is>
      </c>
      <c r="G616" s="4">
        <f>'Assumptions'!L49</f>
        <v/>
      </c>
      <c r="H616" s="4" t="inlineStr">
        <is>
          <t>input link</t>
        </is>
      </c>
    </row>
    <row r="617">
      <c r="B617" s="4" t="inlineStr">
        <is>
          <t>Model</t>
        </is>
      </c>
      <c r="C617" s="8" t="inlineStr">
        <is>
          <t>rental_disposal_cost_rate</t>
        </is>
      </c>
      <c r="D617" s="4" t="inlineStr">
        <is>
          <t>차량매각원가율</t>
        </is>
      </c>
      <c r="E617" s="4" t="inlineStr">
        <is>
          <t>2027</t>
        </is>
      </c>
      <c r="F617" s="8" t="inlineStr">
        <is>
          <t>M92</t>
        </is>
      </c>
      <c r="G617" s="4">
        <f>'Assumptions'!M49</f>
        <v/>
      </c>
      <c r="H617" s="4" t="inlineStr">
        <is>
          <t>input link</t>
        </is>
      </c>
    </row>
    <row r="618">
      <c r="B618" s="4" t="inlineStr">
        <is>
          <t>Model</t>
        </is>
      </c>
      <c r="C618" s="8" t="inlineStr">
        <is>
          <t>rental_disposal_cost_rate</t>
        </is>
      </c>
      <c r="D618" s="4" t="inlineStr">
        <is>
          <t>차량매각원가율</t>
        </is>
      </c>
      <c r="E618" s="4" t="inlineStr">
        <is>
          <t>2028</t>
        </is>
      </c>
      <c r="F618" s="8" t="inlineStr">
        <is>
          <t>N92</t>
        </is>
      </c>
      <c r="G618" s="4">
        <f>'Assumptions'!N49</f>
        <v/>
      </c>
      <c r="H618" s="4" t="inlineStr">
        <is>
          <t>input link</t>
        </is>
      </c>
    </row>
    <row r="619">
      <c r="B619" s="4" t="inlineStr">
        <is>
          <t>Model</t>
        </is>
      </c>
      <c r="C619" s="8" t="inlineStr">
        <is>
          <t>rental_disposal_cost_rate</t>
        </is>
      </c>
      <c r="D619" s="4" t="inlineStr">
        <is>
          <t>차량매각원가율</t>
        </is>
      </c>
      <c r="E619" s="4" t="inlineStr">
        <is>
          <t>2029</t>
        </is>
      </c>
      <c r="F619" s="8" t="inlineStr">
        <is>
          <t>O92</t>
        </is>
      </c>
      <c r="G619" s="4">
        <f>'Assumptions'!O49</f>
        <v/>
      </c>
      <c r="H619" s="4" t="inlineStr">
        <is>
          <t>input link</t>
        </is>
      </c>
    </row>
    <row r="620">
      <c r="B620" s="4" t="inlineStr">
        <is>
          <t>Model</t>
        </is>
      </c>
      <c r="C620" s="8" t="inlineStr">
        <is>
          <t>variable_sga</t>
        </is>
      </c>
      <c r="D620" s="4" t="inlineStr">
        <is>
          <t>변동 판관비</t>
        </is>
      </c>
      <c r="E620" s="4" t="inlineStr">
        <is>
          <t>2023</t>
        </is>
      </c>
      <c r="F620" s="8" t="inlineStr">
        <is>
          <t>I93</t>
        </is>
      </c>
      <c r="G620" s="4">
        <f>(I6*I94)</f>
        <v/>
      </c>
      <c r="H620" s="4" t="inlineStr">
        <is>
          <t>calculation</t>
        </is>
      </c>
    </row>
    <row r="621">
      <c r="B621" s="4" t="inlineStr">
        <is>
          <t>Model</t>
        </is>
      </c>
      <c r="C621" s="8" t="inlineStr">
        <is>
          <t>variable_sga</t>
        </is>
      </c>
      <c r="D621" s="4" t="inlineStr">
        <is>
          <t>변동 판관비</t>
        </is>
      </c>
      <c r="E621" s="4" t="inlineStr">
        <is>
          <t>2024</t>
        </is>
      </c>
      <c r="F621" s="8" t="inlineStr">
        <is>
          <t>J93</t>
        </is>
      </c>
      <c r="G621" s="4">
        <f>(J6*J94)</f>
        <v/>
      </c>
      <c r="H621" s="4" t="inlineStr">
        <is>
          <t>calculation</t>
        </is>
      </c>
    </row>
    <row r="622">
      <c r="B622" s="4" t="inlineStr">
        <is>
          <t>Model</t>
        </is>
      </c>
      <c r="C622" s="8" t="inlineStr">
        <is>
          <t>variable_sga</t>
        </is>
      </c>
      <c r="D622" s="4" t="inlineStr">
        <is>
          <t>변동 판관비</t>
        </is>
      </c>
      <c r="E622" s="4" t="inlineStr">
        <is>
          <t>2025</t>
        </is>
      </c>
      <c r="F622" s="8" t="inlineStr">
        <is>
          <t>K93</t>
        </is>
      </c>
      <c r="G622" s="4">
        <f>(K6*K94)</f>
        <v/>
      </c>
      <c r="H622" s="4" t="inlineStr">
        <is>
          <t>calculation</t>
        </is>
      </c>
    </row>
    <row r="623">
      <c r="B623" s="4" t="inlineStr">
        <is>
          <t>Model</t>
        </is>
      </c>
      <c r="C623" s="8" t="inlineStr">
        <is>
          <t>variable_sga</t>
        </is>
      </c>
      <c r="D623" s="4" t="inlineStr">
        <is>
          <t>변동 판관비</t>
        </is>
      </c>
      <c r="E623" s="4" t="inlineStr">
        <is>
          <t>2026</t>
        </is>
      </c>
      <c r="F623" s="8" t="inlineStr">
        <is>
          <t>L93</t>
        </is>
      </c>
      <c r="G623" s="4">
        <f>(L6*L94)</f>
        <v/>
      </c>
      <c r="H623" s="4" t="inlineStr">
        <is>
          <t>calculation</t>
        </is>
      </c>
    </row>
    <row r="624">
      <c r="B624" s="4" t="inlineStr">
        <is>
          <t>Model</t>
        </is>
      </c>
      <c r="C624" s="8" t="inlineStr">
        <is>
          <t>variable_sga</t>
        </is>
      </c>
      <c r="D624" s="4" t="inlineStr">
        <is>
          <t>변동 판관비</t>
        </is>
      </c>
      <c r="E624" s="4" t="inlineStr">
        <is>
          <t>2027</t>
        </is>
      </c>
      <c r="F624" s="8" t="inlineStr">
        <is>
          <t>M93</t>
        </is>
      </c>
      <c r="G624" s="4">
        <f>(M6*M94)</f>
        <v/>
      </c>
      <c r="H624" s="4" t="inlineStr">
        <is>
          <t>calculation</t>
        </is>
      </c>
    </row>
    <row r="625">
      <c r="B625" s="4" t="inlineStr">
        <is>
          <t>Model</t>
        </is>
      </c>
      <c r="C625" s="8" t="inlineStr">
        <is>
          <t>variable_sga</t>
        </is>
      </c>
      <c r="D625" s="4" t="inlineStr">
        <is>
          <t>변동 판관비</t>
        </is>
      </c>
      <c r="E625" s="4" t="inlineStr">
        <is>
          <t>2028</t>
        </is>
      </c>
      <c r="F625" s="8" t="inlineStr">
        <is>
          <t>N93</t>
        </is>
      </c>
      <c r="G625" s="4">
        <f>(N6*N94)</f>
        <v/>
      </c>
      <c r="H625" s="4" t="inlineStr">
        <is>
          <t>calculation</t>
        </is>
      </c>
    </row>
    <row r="626">
      <c r="B626" s="4" t="inlineStr">
        <is>
          <t>Model</t>
        </is>
      </c>
      <c r="C626" s="8" t="inlineStr">
        <is>
          <t>variable_sga</t>
        </is>
      </c>
      <c r="D626" s="4" t="inlineStr">
        <is>
          <t>변동 판관비</t>
        </is>
      </c>
      <c r="E626" s="4" t="inlineStr">
        <is>
          <t>2029</t>
        </is>
      </c>
      <c r="F626" s="8" t="inlineStr">
        <is>
          <t>O93</t>
        </is>
      </c>
      <c r="G626" s="4">
        <f>(O6*O94)</f>
        <v/>
      </c>
      <c r="H626" s="4" t="inlineStr">
        <is>
          <t>calculation</t>
        </is>
      </c>
    </row>
    <row r="627">
      <c r="B627" s="4" t="inlineStr">
        <is>
          <t>Model</t>
        </is>
      </c>
      <c r="C627" s="8" t="inlineStr">
        <is>
          <t>variable_sga_rate</t>
        </is>
      </c>
      <c r="D627" s="4" t="inlineStr">
        <is>
          <t>변동 판관비율</t>
        </is>
      </c>
      <c r="E627" s="4" t="inlineStr">
        <is>
          <t>2023</t>
        </is>
      </c>
      <c r="F627" s="8" t="inlineStr">
        <is>
          <t>I94</t>
        </is>
      </c>
      <c r="G627" s="4">
        <f>'Assumptions'!I50</f>
        <v/>
      </c>
      <c r="H627" s="4" t="inlineStr">
        <is>
          <t>input link</t>
        </is>
      </c>
    </row>
    <row r="628">
      <c r="B628" s="4" t="inlineStr">
        <is>
          <t>Model</t>
        </is>
      </c>
      <c r="C628" s="8" t="inlineStr">
        <is>
          <t>variable_sga_rate</t>
        </is>
      </c>
      <c r="D628" s="4" t="inlineStr">
        <is>
          <t>변동 판관비율</t>
        </is>
      </c>
      <c r="E628" s="4" t="inlineStr">
        <is>
          <t>2024</t>
        </is>
      </c>
      <c r="F628" s="8" t="inlineStr">
        <is>
          <t>J94</t>
        </is>
      </c>
      <c r="G628" s="4">
        <f>'Assumptions'!J50</f>
        <v/>
      </c>
      <c r="H628" s="4" t="inlineStr">
        <is>
          <t>input link</t>
        </is>
      </c>
    </row>
    <row r="629">
      <c r="B629" s="4" t="inlineStr">
        <is>
          <t>Model</t>
        </is>
      </c>
      <c r="C629" s="8" t="inlineStr">
        <is>
          <t>variable_sga_rate</t>
        </is>
      </c>
      <c r="D629" s="4" t="inlineStr">
        <is>
          <t>변동 판관비율</t>
        </is>
      </c>
      <c r="E629" s="4" t="inlineStr">
        <is>
          <t>2025</t>
        </is>
      </c>
      <c r="F629" s="8" t="inlineStr">
        <is>
          <t>K94</t>
        </is>
      </c>
      <c r="G629" s="4">
        <f>'Assumptions'!K50</f>
        <v/>
      </c>
      <c r="H629" s="4" t="inlineStr">
        <is>
          <t>input link</t>
        </is>
      </c>
    </row>
    <row r="630">
      <c r="B630" s="4" t="inlineStr">
        <is>
          <t>Model</t>
        </is>
      </c>
      <c r="C630" s="8" t="inlineStr">
        <is>
          <t>variable_sga_rate</t>
        </is>
      </c>
      <c r="D630" s="4" t="inlineStr">
        <is>
          <t>변동 판관비율</t>
        </is>
      </c>
      <c r="E630" s="4" t="inlineStr">
        <is>
          <t>2026</t>
        </is>
      </c>
      <c r="F630" s="8" t="inlineStr">
        <is>
          <t>L94</t>
        </is>
      </c>
      <c r="G630" s="4">
        <f>'Assumptions'!L50</f>
        <v/>
      </c>
      <c r="H630" s="4" t="inlineStr">
        <is>
          <t>input link</t>
        </is>
      </c>
    </row>
    <row r="631">
      <c r="B631" s="4" t="inlineStr">
        <is>
          <t>Model</t>
        </is>
      </c>
      <c r="C631" s="8" t="inlineStr">
        <is>
          <t>variable_sga_rate</t>
        </is>
      </c>
      <c r="D631" s="4" t="inlineStr">
        <is>
          <t>변동 판관비율</t>
        </is>
      </c>
      <c r="E631" s="4" t="inlineStr">
        <is>
          <t>2027</t>
        </is>
      </c>
      <c r="F631" s="8" t="inlineStr">
        <is>
          <t>M94</t>
        </is>
      </c>
      <c r="G631" s="4">
        <f>'Assumptions'!M50</f>
        <v/>
      </c>
      <c r="H631" s="4" t="inlineStr">
        <is>
          <t>input link</t>
        </is>
      </c>
    </row>
    <row r="632">
      <c r="B632" s="4" t="inlineStr">
        <is>
          <t>Model</t>
        </is>
      </c>
      <c r="C632" s="8" t="inlineStr">
        <is>
          <t>variable_sga_rate</t>
        </is>
      </c>
      <c r="D632" s="4" t="inlineStr">
        <is>
          <t>변동 판관비율</t>
        </is>
      </c>
      <c r="E632" s="4" t="inlineStr">
        <is>
          <t>2028</t>
        </is>
      </c>
      <c r="F632" s="8" t="inlineStr">
        <is>
          <t>N94</t>
        </is>
      </c>
      <c r="G632" s="4">
        <f>'Assumptions'!N50</f>
        <v/>
      </c>
      <c r="H632" s="4" t="inlineStr">
        <is>
          <t>input link</t>
        </is>
      </c>
    </row>
    <row r="633">
      <c r="B633" s="4" t="inlineStr">
        <is>
          <t>Model</t>
        </is>
      </c>
      <c r="C633" s="8" t="inlineStr">
        <is>
          <t>variable_sga_rate</t>
        </is>
      </c>
      <c r="D633" s="4" t="inlineStr">
        <is>
          <t>변동 판관비율</t>
        </is>
      </c>
      <c r="E633" s="4" t="inlineStr">
        <is>
          <t>2029</t>
        </is>
      </c>
      <c r="F633" s="8" t="inlineStr">
        <is>
          <t>O94</t>
        </is>
      </c>
      <c r="G633" s="4">
        <f>'Assumptions'!O50</f>
        <v/>
      </c>
      <c r="H633" s="4" t="inlineStr">
        <is>
          <t>input link</t>
        </is>
      </c>
    </row>
    <row r="634">
      <c r="B634" s="4" t="inlineStr">
        <is>
          <t>Model</t>
        </is>
      </c>
      <c r="C634" s="8" t="inlineStr">
        <is>
          <t>fixed_sga</t>
        </is>
      </c>
      <c r="D634" s="4" t="inlineStr">
        <is>
          <t>고정 판관비</t>
        </is>
      </c>
      <c r="E634" s="4" t="inlineStr">
        <is>
          <t>2023</t>
        </is>
      </c>
      <c r="F634" s="8" t="inlineStr">
        <is>
          <t>I95</t>
        </is>
      </c>
      <c r="G634" s="4">
        <f>'Assumptions'!I51</f>
        <v/>
      </c>
      <c r="H634" s="4" t="inlineStr">
        <is>
          <t>input link</t>
        </is>
      </c>
    </row>
    <row r="635">
      <c r="B635" s="4" t="inlineStr">
        <is>
          <t>Model</t>
        </is>
      </c>
      <c r="C635" s="8" t="inlineStr">
        <is>
          <t>fixed_sga</t>
        </is>
      </c>
      <c r="D635" s="4" t="inlineStr">
        <is>
          <t>고정 판관비</t>
        </is>
      </c>
      <c r="E635" s="4" t="inlineStr">
        <is>
          <t>2024</t>
        </is>
      </c>
      <c r="F635" s="8" t="inlineStr">
        <is>
          <t>J95</t>
        </is>
      </c>
      <c r="G635" s="4">
        <f>'Assumptions'!J51</f>
        <v/>
      </c>
      <c r="H635" s="4" t="inlineStr">
        <is>
          <t>input link</t>
        </is>
      </c>
    </row>
    <row r="636">
      <c r="B636" s="4" t="inlineStr">
        <is>
          <t>Model</t>
        </is>
      </c>
      <c r="C636" s="8" t="inlineStr">
        <is>
          <t>fixed_sga</t>
        </is>
      </c>
      <c r="D636" s="4" t="inlineStr">
        <is>
          <t>고정 판관비</t>
        </is>
      </c>
      <c r="E636" s="4" t="inlineStr">
        <is>
          <t>2025</t>
        </is>
      </c>
      <c r="F636" s="8" t="inlineStr">
        <is>
          <t>K95</t>
        </is>
      </c>
      <c r="G636" s="4">
        <f>'Assumptions'!K51</f>
        <v/>
      </c>
      <c r="H636" s="4" t="inlineStr">
        <is>
          <t>input link</t>
        </is>
      </c>
    </row>
    <row r="637">
      <c r="B637" s="4" t="inlineStr">
        <is>
          <t>Model</t>
        </is>
      </c>
      <c r="C637" s="8" t="inlineStr">
        <is>
          <t>fixed_sga</t>
        </is>
      </c>
      <c r="D637" s="4" t="inlineStr">
        <is>
          <t>고정 판관비</t>
        </is>
      </c>
      <c r="E637" s="4" t="inlineStr">
        <is>
          <t>2026</t>
        </is>
      </c>
      <c r="F637" s="8" t="inlineStr">
        <is>
          <t>L95</t>
        </is>
      </c>
      <c r="G637" s="4">
        <f>'Assumptions'!L51</f>
        <v/>
      </c>
      <c r="H637" s="4" t="inlineStr">
        <is>
          <t>input link</t>
        </is>
      </c>
    </row>
    <row r="638">
      <c r="B638" s="4" t="inlineStr">
        <is>
          <t>Model</t>
        </is>
      </c>
      <c r="C638" s="8" t="inlineStr">
        <is>
          <t>fixed_sga</t>
        </is>
      </c>
      <c r="D638" s="4" t="inlineStr">
        <is>
          <t>고정 판관비</t>
        </is>
      </c>
      <c r="E638" s="4" t="inlineStr">
        <is>
          <t>2027</t>
        </is>
      </c>
      <c r="F638" s="8" t="inlineStr">
        <is>
          <t>M95</t>
        </is>
      </c>
      <c r="G638" s="4">
        <f>'Assumptions'!M51</f>
        <v/>
      </c>
      <c r="H638" s="4" t="inlineStr">
        <is>
          <t>input link</t>
        </is>
      </c>
    </row>
    <row r="639">
      <c r="B639" s="4" t="inlineStr">
        <is>
          <t>Model</t>
        </is>
      </c>
      <c r="C639" s="8" t="inlineStr">
        <is>
          <t>fixed_sga</t>
        </is>
      </c>
      <c r="D639" s="4" t="inlineStr">
        <is>
          <t>고정 판관비</t>
        </is>
      </c>
      <c r="E639" s="4" t="inlineStr">
        <is>
          <t>2028</t>
        </is>
      </c>
      <c r="F639" s="8" t="inlineStr">
        <is>
          <t>N95</t>
        </is>
      </c>
      <c r="G639" s="4">
        <f>'Assumptions'!N51</f>
        <v/>
      </c>
      <c r="H639" s="4" t="inlineStr">
        <is>
          <t>input link</t>
        </is>
      </c>
    </row>
    <row r="640">
      <c r="B640" s="4" t="inlineStr">
        <is>
          <t>Model</t>
        </is>
      </c>
      <c r="C640" s="8" t="inlineStr">
        <is>
          <t>fixed_sga</t>
        </is>
      </c>
      <c r="D640" s="4" t="inlineStr">
        <is>
          <t>고정 판관비</t>
        </is>
      </c>
      <c r="E640" s="4" t="inlineStr">
        <is>
          <t>2029</t>
        </is>
      </c>
      <c r="F640" s="8" t="inlineStr">
        <is>
          <t>O95</t>
        </is>
      </c>
      <c r="G640" s="4">
        <f>'Assumptions'!O51</f>
        <v/>
      </c>
      <c r="H640" s="4" t="inlineStr">
        <is>
          <t>input link</t>
        </is>
      </c>
    </row>
    <row r="641">
      <c r="B641" s="4" t="inlineStr">
        <is>
          <t>Model</t>
        </is>
      </c>
      <c r="C641" s="8" t="inlineStr">
        <is>
          <t>labor_cost</t>
        </is>
      </c>
      <c r="D641" s="4" t="inlineStr">
        <is>
          <t>인건비</t>
        </is>
      </c>
      <c r="E641" s="4" t="inlineStr">
        <is>
          <t>2023</t>
        </is>
      </c>
      <c r="F641" s="8" t="inlineStr">
        <is>
          <t>I96</t>
        </is>
      </c>
      <c r="G641" s="4">
        <f>(I97*I98)</f>
        <v/>
      </c>
      <c r="H641" s="4" t="inlineStr">
        <is>
          <t>calculation</t>
        </is>
      </c>
    </row>
    <row r="642">
      <c r="B642" s="4" t="inlineStr">
        <is>
          <t>Model</t>
        </is>
      </c>
      <c r="C642" s="8" t="inlineStr">
        <is>
          <t>labor_cost</t>
        </is>
      </c>
      <c r="D642" s="4" t="inlineStr">
        <is>
          <t>인건비</t>
        </is>
      </c>
      <c r="E642" s="4" t="inlineStr">
        <is>
          <t>2024</t>
        </is>
      </c>
      <c r="F642" s="8" t="inlineStr">
        <is>
          <t>J96</t>
        </is>
      </c>
      <c r="G642" s="4">
        <f>(J97*J98)</f>
        <v/>
      </c>
      <c r="H642" s="4" t="inlineStr">
        <is>
          <t>calculation</t>
        </is>
      </c>
    </row>
    <row r="643">
      <c r="B643" s="4" t="inlineStr">
        <is>
          <t>Model</t>
        </is>
      </c>
      <c r="C643" s="8" t="inlineStr">
        <is>
          <t>labor_cost</t>
        </is>
      </c>
      <c r="D643" s="4" t="inlineStr">
        <is>
          <t>인건비</t>
        </is>
      </c>
      <c r="E643" s="4" t="inlineStr">
        <is>
          <t>2025</t>
        </is>
      </c>
      <c r="F643" s="8" t="inlineStr">
        <is>
          <t>K96</t>
        </is>
      </c>
      <c r="G643" s="4">
        <f>(K97*K98)</f>
        <v/>
      </c>
      <c r="H643" s="4" t="inlineStr">
        <is>
          <t>calculation</t>
        </is>
      </c>
    </row>
    <row r="644">
      <c r="B644" s="4" t="inlineStr">
        <is>
          <t>Model</t>
        </is>
      </c>
      <c r="C644" s="8" t="inlineStr">
        <is>
          <t>labor_cost</t>
        </is>
      </c>
      <c r="D644" s="4" t="inlineStr">
        <is>
          <t>인건비</t>
        </is>
      </c>
      <c r="E644" s="4" t="inlineStr">
        <is>
          <t>2026</t>
        </is>
      </c>
      <c r="F644" s="8" t="inlineStr">
        <is>
          <t>L96</t>
        </is>
      </c>
      <c r="G644" s="4">
        <f>(L97*L98)</f>
        <v/>
      </c>
      <c r="H644" s="4" t="inlineStr">
        <is>
          <t>calculation</t>
        </is>
      </c>
    </row>
    <row r="645">
      <c r="B645" s="4" t="inlineStr">
        <is>
          <t>Model</t>
        </is>
      </c>
      <c r="C645" s="8" t="inlineStr">
        <is>
          <t>labor_cost</t>
        </is>
      </c>
      <c r="D645" s="4" t="inlineStr">
        <is>
          <t>인건비</t>
        </is>
      </c>
      <c r="E645" s="4" t="inlineStr">
        <is>
          <t>2027</t>
        </is>
      </c>
      <c r="F645" s="8" t="inlineStr">
        <is>
          <t>M96</t>
        </is>
      </c>
      <c r="G645" s="4">
        <f>(M97*M98)</f>
        <v/>
      </c>
      <c r="H645" s="4" t="inlineStr">
        <is>
          <t>calculation</t>
        </is>
      </c>
    </row>
    <row r="646">
      <c r="B646" s="4" t="inlineStr">
        <is>
          <t>Model</t>
        </is>
      </c>
      <c r="C646" s="8" t="inlineStr">
        <is>
          <t>labor_cost</t>
        </is>
      </c>
      <c r="D646" s="4" t="inlineStr">
        <is>
          <t>인건비</t>
        </is>
      </c>
      <c r="E646" s="4" t="inlineStr">
        <is>
          <t>2028</t>
        </is>
      </c>
      <c r="F646" s="8" t="inlineStr">
        <is>
          <t>N96</t>
        </is>
      </c>
      <c r="G646" s="4">
        <f>(N97*N98)</f>
        <v/>
      </c>
      <c r="H646" s="4" t="inlineStr">
        <is>
          <t>calculation</t>
        </is>
      </c>
    </row>
    <row r="647">
      <c r="B647" s="4" t="inlineStr">
        <is>
          <t>Model</t>
        </is>
      </c>
      <c r="C647" s="8" t="inlineStr">
        <is>
          <t>labor_cost</t>
        </is>
      </c>
      <c r="D647" s="4" t="inlineStr">
        <is>
          <t>인건비</t>
        </is>
      </c>
      <c r="E647" s="4" t="inlineStr">
        <is>
          <t>2029</t>
        </is>
      </c>
      <c r="F647" s="8" t="inlineStr">
        <is>
          <t>O96</t>
        </is>
      </c>
      <c r="G647" s="4">
        <f>(O97*O98)</f>
        <v/>
      </c>
      <c r="H647" s="4" t="inlineStr">
        <is>
          <t>calculation</t>
        </is>
      </c>
    </row>
    <row r="648">
      <c r="B648" s="4" t="inlineStr">
        <is>
          <t>Model</t>
        </is>
      </c>
      <c r="C648" s="8" t="inlineStr">
        <is>
          <t>employee_count</t>
        </is>
      </c>
      <c r="D648" s="4" t="inlineStr">
        <is>
          <t>필요 인원</t>
        </is>
      </c>
      <c r="E648" s="4" t="inlineStr">
        <is>
          <t>2023</t>
        </is>
      </c>
      <c r="F648" s="8" t="inlineStr">
        <is>
          <t>I97</t>
        </is>
      </c>
      <c r="G648" s="4">
        <f>'Assumptions'!I52</f>
        <v/>
      </c>
      <c r="H648" s="4" t="inlineStr">
        <is>
          <t>input link</t>
        </is>
      </c>
    </row>
    <row r="649">
      <c r="B649" s="4" t="inlineStr">
        <is>
          <t>Model</t>
        </is>
      </c>
      <c r="C649" s="8" t="inlineStr">
        <is>
          <t>employee_count</t>
        </is>
      </c>
      <c r="D649" s="4" t="inlineStr">
        <is>
          <t>필요 인원</t>
        </is>
      </c>
      <c r="E649" s="4" t="inlineStr">
        <is>
          <t>2024</t>
        </is>
      </c>
      <c r="F649" s="8" t="inlineStr">
        <is>
          <t>J97</t>
        </is>
      </c>
      <c r="G649" s="4">
        <f>'Assumptions'!J52</f>
        <v/>
      </c>
      <c r="H649" s="4" t="inlineStr">
        <is>
          <t>input link</t>
        </is>
      </c>
    </row>
    <row r="650">
      <c r="B650" s="4" t="inlineStr">
        <is>
          <t>Model</t>
        </is>
      </c>
      <c r="C650" s="8" t="inlineStr">
        <is>
          <t>employee_count</t>
        </is>
      </c>
      <c r="D650" s="4" t="inlineStr">
        <is>
          <t>필요 인원</t>
        </is>
      </c>
      <c r="E650" s="4" t="inlineStr">
        <is>
          <t>2025</t>
        </is>
      </c>
      <c r="F650" s="8" t="inlineStr">
        <is>
          <t>K97</t>
        </is>
      </c>
      <c r="G650" s="4">
        <f>'Assumptions'!K52</f>
        <v/>
      </c>
      <c r="H650" s="4" t="inlineStr">
        <is>
          <t>input link</t>
        </is>
      </c>
    </row>
    <row r="651">
      <c r="B651" s="4" t="inlineStr">
        <is>
          <t>Model</t>
        </is>
      </c>
      <c r="C651" s="8" t="inlineStr">
        <is>
          <t>employee_count</t>
        </is>
      </c>
      <c r="D651" s="4" t="inlineStr">
        <is>
          <t>필요 인원</t>
        </is>
      </c>
      <c r="E651" s="4" t="inlineStr">
        <is>
          <t>2026</t>
        </is>
      </c>
      <c r="F651" s="8" t="inlineStr">
        <is>
          <t>L97</t>
        </is>
      </c>
      <c r="G651" s="4">
        <f>'Assumptions'!L52</f>
        <v/>
      </c>
      <c r="H651" s="4" t="inlineStr">
        <is>
          <t>input link</t>
        </is>
      </c>
    </row>
    <row r="652">
      <c r="B652" s="4" t="inlineStr">
        <is>
          <t>Model</t>
        </is>
      </c>
      <c r="C652" s="8" t="inlineStr">
        <is>
          <t>employee_count</t>
        </is>
      </c>
      <c r="D652" s="4" t="inlineStr">
        <is>
          <t>필요 인원</t>
        </is>
      </c>
      <c r="E652" s="4" t="inlineStr">
        <is>
          <t>2027</t>
        </is>
      </c>
      <c r="F652" s="8" t="inlineStr">
        <is>
          <t>M97</t>
        </is>
      </c>
      <c r="G652" s="4">
        <f>'Assumptions'!M52</f>
        <v/>
      </c>
      <c r="H652" s="4" t="inlineStr">
        <is>
          <t>input link</t>
        </is>
      </c>
    </row>
    <row r="653">
      <c r="B653" s="4" t="inlineStr">
        <is>
          <t>Model</t>
        </is>
      </c>
      <c r="C653" s="8" t="inlineStr">
        <is>
          <t>employee_count</t>
        </is>
      </c>
      <c r="D653" s="4" t="inlineStr">
        <is>
          <t>필요 인원</t>
        </is>
      </c>
      <c r="E653" s="4" t="inlineStr">
        <is>
          <t>2028</t>
        </is>
      </c>
      <c r="F653" s="8" t="inlineStr">
        <is>
          <t>N97</t>
        </is>
      </c>
      <c r="G653" s="4">
        <f>'Assumptions'!N52</f>
        <v/>
      </c>
      <c r="H653" s="4" t="inlineStr">
        <is>
          <t>input link</t>
        </is>
      </c>
    </row>
    <row r="654">
      <c r="B654" s="4" t="inlineStr">
        <is>
          <t>Model</t>
        </is>
      </c>
      <c r="C654" s="8" t="inlineStr">
        <is>
          <t>employee_count</t>
        </is>
      </c>
      <c r="D654" s="4" t="inlineStr">
        <is>
          <t>필요 인원</t>
        </is>
      </c>
      <c r="E654" s="4" t="inlineStr">
        <is>
          <t>2029</t>
        </is>
      </c>
      <c r="F654" s="8" t="inlineStr">
        <is>
          <t>O97</t>
        </is>
      </c>
      <c r="G654" s="4">
        <f>'Assumptions'!O52</f>
        <v/>
      </c>
      <c r="H654" s="4" t="inlineStr">
        <is>
          <t>input link</t>
        </is>
      </c>
    </row>
    <row r="655">
      <c r="B655" s="4" t="inlineStr">
        <is>
          <t>Model</t>
        </is>
      </c>
      <c r="C655" s="8" t="inlineStr">
        <is>
          <t>avg_salary</t>
        </is>
      </c>
      <c r="D655" s="4" t="inlineStr">
        <is>
          <t>평균 급여</t>
        </is>
      </c>
      <c r="E655" s="4" t="inlineStr">
        <is>
          <t>2023</t>
        </is>
      </c>
      <c r="F655" s="8" t="inlineStr">
        <is>
          <t>I98</t>
        </is>
      </c>
      <c r="G655" s="4">
        <f>'Assumptions'!I53</f>
        <v/>
      </c>
      <c r="H655" s="4" t="inlineStr">
        <is>
          <t>input link</t>
        </is>
      </c>
    </row>
    <row r="656">
      <c r="B656" s="4" t="inlineStr">
        <is>
          <t>Model</t>
        </is>
      </c>
      <c r="C656" s="8" t="inlineStr">
        <is>
          <t>avg_salary</t>
        </is>
      </c>
      <c r="D656" s="4" t="inlineStr">
        <is>
          <t>평균 급여</t>
        </is>
      </c>
      <c r="E656" s="4" t="inlineStr">
        <is>
          <t>2024</t>
        </is>
      </c>
      <c r="F656" s="8" t="inlineStr">
        <is>
          <t>J98</t>
        </is>
      </c>
      <c r="G656" s="4">
        <f>'Assumptions'!J53</f>
        <v/>
      </c>
      <c r="H656" s="4" t="inlineStr">
        <is>
          <t>input link</t>
        </is>
      </c>
    </row>
    <row r="657">
      <c r="B657" s="4" t="inlineStr">
        <is>
          <t>Model</t>
        </is>
      </c>
      <c r="C657" s="8" t="inlineStr">
        <is>
          <t>avg_salary</t>
        </is>
      </c>
      <c r="D657" s="4" t="inlineStr">
        <is>
          <t>평균 급여</t>
        </is>
      </c>
      <c r="E657" s="4" t="inlineStr">
        <is>
          <t>2025</t>
        </is>
      </c>
      <c r="F657" s="8" t="inlineStr">
        <is>
          <t>K98</t>
        </is>
      </c>
      <c r="G657" s="4">
        <f>'Assumptions'!K53</f>
        <v/>
      </c>
      <c r="H657" s="4" t="inlineStr">
        <is>
          <t>input link</t>
        </is>
      </c>
    </row>
    <row r="658">
      <c r="B658" s="4" t="inlineStr">
        <is>
          <t>Model</t>
        </is>
      </c>
      <c r="C658" s="8" t="inlineStr">
        <is>
          <t>avg_salary</t>
        </is>
      </c>
      <c r="D658" s="4" t="inlineStr">
        <is>
          <t>평균 급여</t>
        </is>
      </c>
      <c r="E658" s="4" t="inlineStr">
        <is>
          <t>2026</t>
        </is>
      </c>
      <c r="F658" s="8" t="inlineStr">
        <is>
          <t>L98</t>
        </is>
      </c>
      <c r="G658" s="4">
        <f>'Assumptions'!L53</f>
        <v/>
      </c>
      <c r="H658" s="4" t="inlineStr">
        <is>
          <t>input link</t>
        </is>
      </c>
    </row>
    <row r="659">
      <c r="B659" s="4" t="inlineStr">
        <is>
          <t>Model</t>
        </is>
      </c>
      <c r="C659" s="8" t="inlineStr">
        <is>
          <t>avg_salary</t>
        </is>
      </c>
      <c r="D659" s="4" t="inlineStr">
        <is>
          <t>평균 급여</t>
        </is>
      </c>
      <c r="E659" s="4" t="inlineStr">
        <is>
          <t>2027</t>
        </is>
      </c>
      <c r="F659" s="8" t="inlineStr">
        <is>
          <t>M98</t>
        </is>
      </c>
      <c r="G659" s="4">
        <f>'Assumptions'!M53</f>
        <v/>
      </c>
      <c r="H659" s="4" t="inlineStr">
        <is>
          <t>input link</t>
        </is>
      </c>
    </row>
    <row r="660">
      <c r="B660" s="4" t="inlineStr">
        <is>
          <t>Model</t>
        </is>
      </c>
      <c r="C660" s="8" t="inlineStr">
        <is>
          <t>avg_salary</t>
        </is>
      </c>
      <c r="D660" s="4" t="inlineStr">
        <is>
          <t>평균 급여</t>
        </is>
      </c>
      <c r="E660" s="4" t="inlineStr">
        <is>
          <t>2028</t>
        </is>
      </c>
      <c r="F660" s="8" t="inlineStr">
        <is>
          <t>N98</t>
        </is>
      </c>
      <c r="G660" s="4">
        <f>'Assumptions'!N53</f>
        <v/>
      </c>
      <c r="H660" s="4" t="inlineStr">
        <is>
          <t>input link</t>
        </is>
      </c>
    </row>
    <row r="661">
      <c r="B661" s="4" t="inlineStr">
        <is>
          <t>Model</t>
        </is>
      </c>
      <c r="C661" s="8" t="inlineStr">
        <is>
          <t>avg_salary</t>
        </is>
      </c>
      <c r="D661" s="4" t="inlineStr">
        <is>
          <t>평균 급여</t>
        </is>
      </c>
      <c r="E661" s="4" t="inlineStr">
        <is>
          <t>2029</t>
        </is>
      </c>
      <c r="F661" s="8" t="inlineStr">
        <is>
          <t>O98</t>
        </is>
      </c>
      <c r="G661" s="4">
        <f>'Assumptions'!O53</f>
        <v/>
      </c>
      <c r="H661" s="4" t="inlineStr">
        <is>
          <t>input link</t>
        </is>
      </c>
    </row>
    <row r="662">
      <c r="B662" s="4" t="inlineStr">
        <is>
          <t>Model</t>
        </is>
      </c>
      <c r="C662" s="8" t="inlineStr">
        <is>
          <t>da</t>
        </is>
      </c>
      <c r="D662" s="4" t="inlineStr">
        <is>
          <t>감가상각비</t>
        </is>
      </c>
      <c r="E662" s="4" t="inlineStr">
        <is>
          <t>2023</t>
        </is>
      </c>
      <c r="F662" s="8" t="inlineStr">
        <is>
          <t>I99</t>
        </is>
      </c>
      <c r="G662" s="4">
        <f>'Assumptions'!I54</f>
        <v/>
      </c>
      <c r="H662" s="4" t="inlineStr">
        <is>
          <t>input link</t>
        </is>
      </c>
    </row>
    <row r="663">
      <c r="B663" s="4" t="inlineStr">
        <is>
          <t>Model</t>
        </is>
      </c>
      <c r="C663" s="8" t="inlineStr">
        <is>
          <t>da</t>
        </is>
      </c>
      <c r="D663" s="4" t="inlineStr">
        <is>
          <t>감가상각비</t>
        </is>
      </c>
      <c r="E663" s="4" t="inlineStr">
        <is>
          <t>2024</t>
        </is>
      </c>
      <c r="F663" s="8" t="inlineStr">
        <is>
          <t>J99</t>
        </is>
      </c>
      <c r="G663" s="4">
        <f>'Assumptions'!J54</f>
        <v/>
      </c>
      <c r="H663" s="4" t="inlineStr">
        <is>
          <t>input link</t>
        </is>
      </c>
    </row>
    <row r="664">
      <c r="B664" s="4" t="inlineStr">
        <is>
          <t>Model</t>
        </is>
      </c>
      <c r="C664" s="8" t="inlineStr">
        <is>
          <t>da</t>
        </is>
      </c>
      <c r="D664" s="4" t="inlineStr">
        <is>
          <t>감가상각비</t>
        </is>
      </c>
      <c r="E664" s="4" t="inlineStr">
        <is>
          <t>2025</t>
        </is>
      </c>
      <c r="F664" s="8" t="inlineStr">
        <is>
          <t>K99</t>
        </is>
      </c>
      <c r="G664" s="4">
        <f>'Assumptions'!K54</f>
        <v/>
      </c>
      <c r="H664" s="4" t="inlineStr">
        <is>
          <t>input link</t>
        </is>
      </c>
    </row>
    <row r="665">
      <c r="B665" s="4" t="inlineStr">
        <is>
          <t>Model</t>
        </is>
      </c>
      <c r="C665" s="8" t="inlineStr">
        <is>
          <t>da</t>
        </is>
      </c>
      <c r="D665" s="4" t="inlineStr">
        <is>
          <t>감가상각비</t>
        </is>
      </c>
      <c r="E665" s="4" t="inlineStr">
        <is>
          <t>2026</t>
        </is>
      </c>
      <c r="F665" s="8" t="inlineStr">
        <is>
          <t>L99</t>
        </is>
      </c>
      <c r="G665" s="4">
        <f>'Assumptions'!L54</f>
        <v/>
      </c>
      <c r="H665" s="4" t="inlineStr">
        <is>
          <t>input link</t>
        </is>
      </c>
    </row>
    <row r="666">
      <c r="B666" s="4" t="inlineStr">
        <is>
          <t>Model</t>
        </is>
      </c>
      <c r="C666" s="8" t="inlineStr">
        <is>
          <t>da</t>
        </is>
      </c>
      <c r="D666" s="4" t="inlineStr">
        <is>
          <t>감가상각비</t>
        </is>
      </c>
      <c r="E666" s="4" t="inlineStr">
        <is>
          <t>2027</t>
        </is>
      </c>
      <c r="F666" s="8" t="inlineStr">
        <is>
          <t>M99</t>
        </is>
      </c>
      <c r="G666" s="4">
        <f>'Assumptions'!M54</f>
        <v/>
      </c>
      <c r="H666" s="4" t="inlineStr">
        <is>
          <t>input link</t>
        </is>
      </c>
    </row>
    <row r="667">
      <c r="B667" s="4" t="inlineStr">
        <is>
          <t>Model</t>
        </is>
      </c>
      <c r="C667" s="8" t="inlineStr">
        <is>
          <t>da</t>
        </is>
      </c>
      <c r="D667" s="4" t="inlineStr">
        <is>
          <t>감가상각비</t>
        </is>
      </c>
      <c r="E667" s="4" t="inlineStr">
        <is>
          <t>2028</t>
        </is>
      </c>
      <c r="F667" s="8" t="inlineStr">
        <is>
          <t>N99</t>
        </is>
      </c>
      <c r="G667" s="4">
        <f>'Assumptions'!N54</f>
        <v/>
      </c>
      <c r="H667" s="4" t="inlineStr">
        <is>
          <t>input link</t>
        </is>
      </c>
    </row>
    <row r="668">
      <c r="B668" s="4" t="inlineStr">
        <is>
          <t>Model</t>
        </is>
      </c>
      <c r="C668" s="8" t="inlineStr">
        <is>
          <t>da</t>
        </is>
      </c>
      <c r="D668" s="4" t="inlineStr">
        <is>
          <t>감가상각비</t>
        </is>
      </c>
      <c r="E668" s="4" t="inlineStr">
        <is>
          <t>2029</t>
        </is>
      </c>
      <c r="F668" s="8" t="inlineStr">
        <is>
          <t>O99</t>
        </is>
      </c>
      <c r="G668" s="4">
        <f>'Assumptions'!O54</f>
        <v/>
      </c>
      <c r="H668" s="4" t="inlineStr">
        <is>
          <t>input link</t>
        </is>
      </c>
    </row>
    <row r="669">
      <c r="B669" s="4" t="inlineStr">
        <is>
          <t>Model</t>
        </is>
      </c>
      <c r="C669" s="8" t="inlineStr">
        <is>
          <t>op_profit</t>
        </is>
      </c>
      <c r="D669" s="4" t="inlineStr">
        <is>
          <t>영업이익</t>
        </is>
      </c>
      <c r="E669" s="4" t="inlineStr">
        <is>
          <t>2023</t>
        </is>
      </c>
      <c r="F669" s="8" t="inlineStr">
        <is>
          <t>I100</t>
        </is>
      </c>
      <c r="G669" s="4">
        <f>(I6-I86)</f>
        <v/>
      </c>
      <c r="H669" s="4" t="inlineStr">
        <is>
          <t>calculation</t>
        </is>
      </c>
    </row>
    <row r="670">
      <c r="B670" s="4" t="inlineStr">
        <is>
          <t>Model</t>
        </is>
      </c>
      <c r="C670" s="8" t="inlineStr">
        <is>
          <t>op_profit</t>
        </is>
      </c>
      <c r="D670" s="4" t="inlineStr">
        <is>
          <t>영업이익</t>
        </is>
      </c>
      <c r="E670" s="4" t="inlineStr">
        <is>
          <t>2024</t>
        </is>
      </c>
      <c r="F670" s="8" t="inlineStr">
        <is>
          <t>J100</t>
        </is>
      </c>
      <c r="G670" s="4">
        <f>(J6-J86)</f>
        <v/>
      </c>
      <c r="H670" s="4" t="inlineStr">
        <is>
          <t>calculation</t>
        </is>
      </c>
    </row>
    <row r="671">
      <c r="B671" s="4" t="inlineStr">
        <is>
          <t>Model</t>
        </is>
      </c>
      <c r="C671" s="8" t="inlineStr">
        <is>
          <t>op_profit</t>
        </is>
      </c>
      <c r="D671" s="4" t="inlineStr">
        <is>
          <t>영업이익</t>
        </is>
      </c>
      <c r="E671" s="4" t="inlineStr">
        <is>
          <t>2025</t>
        </is>
      </c>
      <c r="F671" s="8" t="inlineStr">
        <is>
          <t>K100</t>
        </is>
      </c>
      <c r="G671" s="4">
        <f>(K6-K86)</f>
        <v/>
      </c>
      <c r="H671" s="4" t="inlineStr">
        <is>
          <t>calculation</t>
        </is>
      </c>
    </row>
    <row r="672">
      <c r="B672" s="4" t="inlineStr">
        <is>
          <t>Model</t>
        </is>
      </c>
      <c r="C672" s="8" t="inlineStr">
        <is>
          <t>op_profit</t>
        </is>
      </c>
      <c r="D672" s="4" t="inlineStr">
        <is>
          <t>영업이익</t>
        </is>
      </c>
      <c r="E672" s="4" t="inlineStr">
        <is>
          <t>2026</t>
        </is>
      </c>
      <c r="F672" s="8" t="inlineStr">
        <is>
          <t>L100</t>
        </is>
      </c>
      <c r="G672" s="4">
        <f>(L6-L86)</f>
        <v/>
      </c>
      <c r="H672" s="4" t="inlineStr">
        <is>
          <t>calculation</t>
        </is>
      </c>
    </row>
    <row r="673">
      <c r="B673" s="4" t="inlineStr">
        <is>
          <t>Model</t>
        </is>
      </c>
      <c r="C673" s="8" t="inlineStr">
        <is>
          <t>op_profit</t>
        </is>
      </c>
      <c r="D673" s="4" t="inlineStr">
        <is>
          <t>영업이익</t>
        </is>
      </c>
      <c r="E673" s="4" t="inlineStr">
        <is>
          <t>2027</t>
        </is>
      </c>
      <c r="F673" s="8" t="inlineStr">
        <is>
          <t>M100</t>
        </is>
      </c>
      <c r="G673" s="4">
        <f>(M6-M86)</f>
        <v/>
      </c>
      <c r="H673" s="4" t="inlineStr">
        <is>
          <t>calculation</t>
        </is>
      </c>
    </row>
    <row r="674">
      <c r="B674" s="4" t="inlineStr">
        <is>
          <t>Model</t>
        </is>
      </c>
      <c r="C674" s="8" t="inlineStr">
        <is>
          <t>op_profit</t>
        </is>
      </c>
      <c r="D674" s="4" t="inlineStr">
        <is>
          <t>영업이익</t>
        </is>
      </c>
      <c r="E674" s="4" t="inlineStr">
        <is>
          <t>2028</t>
        </is>
      </c>
      <c r="F674" s="8" t="inlineStr">
        <is>
          <t>N100</t>
        </is>
      </c>
      <c r="G674" s="4">
        <f>(N6-N86)</f>
        <v/>
      </c>
      <c r="H674" s="4" t="inlineStr">
        <is>
          <t>calculation</t>
        </is>
      </c>
    </row>
    <row r="675">
      <c r="B675" s="4" t="inlineStr">
        <is>
          <t>Model</t>
        </is>
      </c>
      <c r="C675" s="8" t="inlineStr">
        <is>
          <t>op_profit</t>
        </is>
      </c>
      <c r="D675" s="4" t="inlineStr">
        <is>
          <t>영업이익</t>
        </is>
      </c>
      <c r="E675" s="4" t="inlineStr">
        <is>
          <t>2029</t>
        </is>
      </c>
      <c r="F675" s="8" t="inlineStr">
        <is>
          <t>O100</t>
        </is>
      </c>
      <c r="G675" s="4">
        <f>(O6-O86)</f>
        <v/>
      </c>
      <c r="H675" s="4" t="inlineStr">
        <is>
          <t>calculation</t>
        </is>
      </c>
    </row>
    <row r="676">
      <c r="B676" s="4" t="inlineStr">
        <is>
          <t>Model</t>
        </is>
      </c>
      <c r="C676" s="8" t="inlineStr">
        <is>
          <t>fcff</t>
        </is>
      </c>
      <c r="D676" s="4" t="inlineStr">
        <is>
          <t>FCFF</t>
        </is>
      </c>
      <c r="E676" s="4" t="inlineStr">
        <is>
          <t>2023</t>
        </is>
      </c>
      <c r="F676" s="8" t="inlineStr">
        <is>
          <t>I101</t>
        </is>
      </c>
      <c r="G676" s="4">
        <f>(((I104+I99)-I108)-I107)</f>
        <v/>
      </c>
      <c r="H676" s="4" t="inlineStr">
        <is>
          <t>calculation</t>
        </is>
      </c>
    </row>
    <row r="677">
      <c r="B677" s="4" t="inlineStr">
        <is>
          <t>Model</t>
        </is>
      </c>
      <c r="C677" s="8" t="inlineStr">
        <is>
          <t>fcff</t>
        </is>
      </c>
      <c r="D677" s="4" t="inlineStr">
        <is>
          <t>FCFF</t>
        </is>
      </c>
      <c r="E677" s="4" t="inlineStr">
        <is>
          <t>2024</t>
        </is>
      </c>
      <c r="F677" s="8" t="inlineStr">
        <is>
          <t>J101</t>
        </is>
      </c>
      <c r="G677" s="4">
        <f>(((J104+J99)-J108)-J107)</f>
        <v/>
      </c>
      <c r="H677" s="4" t="inlineStr">
        <is>
          <t>calculation</t>
        </is>
      </c>
    </row>
    <row r="678">
      <c r="B678" s="4" t="inlineStr">
        <is>
          <t>Model</t>
        </is>
      </c>
      <c r="C678" s="8" t="inlineStr">
        <is>
          <t>fcff</t>
        </is>
      </c>
      <c r="D678" s="4" t="inlineStr">
        <is>
          <t>FCFF</t>
        </is>
      </c>
      <c r="E678" s="4" t="inlineStr">
        <is>
          <t>2025</t>
        </is>
      </c>
      <c r="F678" s="8" t="inlineStr">
        <is>
          <t>K101</t>
        </is>
      </c>
      <c r="G678" s="4">
        <f>(((K104+K99)-K108)-K107)</f>
        <v/>
      </c>
      <c r="H678" s="4" t="inlineStr">
        <is>
          <t>calculation</t>
        </is>
      </c>
    </row>
    <row r="679">
      <c r="B679" s="4" t="inlineStr">
        <is>
          <t>Model</t>
        </is>
      </c>
      <c r="C679" s="8" t="inlineStr">
        <is>
          <t>fcff</t>
        </is>
      </c>
      <c r="D679" s="4" t="inlineStr">
        <is>
          <t>FCFF</t>
        </is>
      </c>
      <c r="E679" s="4" t="inlineStr">
        <is>
          <t>2026</t>
        </is>
      </c>
      <c r="F679" s="8" t="inlineStr">
        <is>
          <t>L101</t>
        </is>
      </c>
      <c r="G679" s="4">
        <f>(((L104+L99)-L108)-L107)</f>
        <v/>
      </c>
      <c r="H679" s="4" t="inlineStr">
        <is>
          <t>calculation</t>
        </is>
      </c>
    </row>
    <row r="680">
      <c r="B680" s="4" t="inlineStr">
        <is>
          <t>Model</t>
        </is>
      </c>
      <c r="C680" s="8" t="inlineStr">
        <is>
          <t>fcff</t>
        </is>
      </c>
      <c r="D680" s="4" t="inlineStr">
        <is>
          <t>FCFF</t>
        </is>
      </c>
      <c r="E680" s="4" t="inlineStr">
        <is>
          <t>2027</t>
        </is>
      </c>
      <c r="F680" s="8" t="inlineStr">
        <is>
          <t>M101</t>
        </is>
      </c>
      <c r="G680" s="4">
        <f>(((M104+M99)-M108)-M107)</f>
        <v/>
      </c>
      <c r="H680" s="4" t="inlineStr">
        <is>
          <t>calculation</t>
        </is>
      </c>
    </row>
    <row r="681">
      <c r="B681" s="4" t="inlineStr">
        <is>
          <t>Model</t>
        </is>
      </c>
      <c r="C681" s="8" t="inlineStr">
        <is>
          <t>fcff</t>
        </is>
      </c>
      <c r="D681" s="4" t="inlineStr">
        <is>
          <t>FCFF</t>
        </is>
      </c>
      <c r="E681" s="4" t="inlineStr">
        <is>
          <t>2028</t>
        </is>
      </c>
      <c r="F681" s="8" t="inlineStr">
        <is>
          <t>N101</t>
        </is>
      </c>
      <c r="G681" s="4">
        <f>(((N104+N99)-N108)-N107)</f>
        <v/>
      </c>
      <c r="H681" s="4" t="inlineStr">
        <is>
          <t>calculation</t>
        </is>
      </c>
    </row>
    <row r="682">
      <c r="B682" s="4" t="inlineStr">
        <is>
          <t>Model</t>
        </is>
      </c>
      <c r="C682" s="8" t="inlineStr">
        <is>
          <t>fcff</t>
        </is>
      </c>
      <c r="D682" s="4" t="inlineStr">
        <is>
          <t>FCFF</t>
        </is>
      </c>
      <c r="E682" s="4" t="inlineStr">
        <is>
          <t>2029</t>
        </is>
      </c>
      <c r="F682" s="8" t="inlineStr">
        <is>
          <t>O101</t>
        </is>
      </c>
      <c r="G682" s="4">
        <f>(((O104+O99)-O108)-O107)</f>
        <v/>
      </c>
      <c r="H682" s="4" t="inlineStr">
        <is>
          <t>calculation</t>
        </is>
      </c>
    </row>
    <row r="683">
      <c r="B683" s="4" t="inlineStr">
        <is>
          <t>Model</t>
        </is>
      </c>
      <c r="C683" s="8" t="inlineStr">
        <is>
          <t>tax</t>
        </is>
      </c>
      <c r="D683" s="4" t="inlineStr">
        <is>
          <t>법인세</t>
        </is>
      </c>
      <c r="E683" s="4" t="inlineStr">
        <is>
          <t>2023</t>
        </is>
      </c>
      <c r="F683" s="8" t="inlineStr">
        <is>
          <t>I102</t>
        </is>
      </c>
      <c r="G683" s="4">
        <f>(MAX(I100,0.0)*I103)</f>
        <v/>
      </c>
      <c r="H683" s="4" t="inlineStr">
        <is>
          <t>calculation</t>
        </is>
      </c>
    </row>
    <row r="684">
      <c r="B684" s="4" t="inlineStr">
        <is>
          <t>Model</t>
        </is>
      </c>
      <c r="C684" s="8" t="inlineStr">
        <is>
          <t>tax</t>
        </is>
      </c>
      <c r="D684" s="4" t="inlineStr">
        <is>
          <t>법인세</t>
        </is>
      </c>
      <c r="E684" s="4" t="inlineStr">
        <is>
          <t>2024</t>
        </is>
      </c>
      <c r="F684" s="8" t="inlineStr">
        <is>
          <t>J102</t>
        </is>
      </c>
      <c r="G684" s="4">
        <f>(MAX(J100,0.0)*J103)</f>
        <v/>
      </c>
      <c r="H684" s="4" t="inlineStr">
        <is>
          <t>calculation</t>
        </is>
      </c>
    </row>
    <row r="685">
      <c r="B685" s="4" t="inlineStr">
        <is>
          <t>Model</t>
        </is>
      </c>
      <c r="C685" s="8" t="inlineStr">
        <is>
          <t>tax</t>
        </is>
      </c>
      <c r="D685" s="4" t="inlineStr">
        <is>
          <t>법인세</t>
        </is>
      </c>
      <c r="E685" s="4" t="inlineStr">
        <is>
          <t>2025</t>
        </is>
      </c>
      <c r="F685" s="8" t="inlineStr">
        <is>
          <t>K102</t>
        </is>
      </c>
      <c r="G685" s="4">
        <f>(MAX(K100,0.0)*K103)</f>
        <v/>
      </c>
      <c r="H685" s="4" t="inlineStr">
        <is>
          <t>calculation</t>
        </is>
      </c>
    </row>
    <row r="686">
      <c r="B686" s="4" t="inlineStr">
        <is>
          <t>Model</t>
        </is>
      </c>
      <c r="C686" s="8" t="inlineStr">
        <is>
          <t>tax</t>
        </is>
      </c>
      <c r="D686" s="4" t="inlineStr">
        <is>
          <t>법인세</t>
        </is>
      </c>
      <c r="E686" s="4" t="inlineStr">
        <is>
          <t>2026</t>
        </is>
      </c>
      <c r="F686" s="8" t="inlineStr">
        <is>
          <t>L102</t>
        </is>
      </c>
      <c r="G686" s="4">
        <f>(MAX(L100,0.0)*L103)</f>
        <v/>
      </c>
      <c r="H686" s="4" t="inlineStr">
        <is>
          <t>calculation</t>
        </is>
      </c>
    </row>
    <row r="687">
      <c r="B687" s="4" t="inlineStr">
        <is>
          <t>Model</t>
        </is>
      </c>
      <c r="C687" s="8" t="inlineStr">
        <is>
          <t>tax</t>
        </is>
      </c>
      <c r="D687" s="4" t="inlineStr">
        <is>
          <t>법인세</t>
        </is>
      </c>
      <c r="E687" s="4" t="inlineStr">
        <is>
          <t>2027</t>
        </is>
      </c>
      <c r="F687" s="8" t="inlineStr">
        <is>
          <t>M102</t>
        </is>
      </c>
      <c r="G687" s="4">
        <f>(MAX(M100,0.0)*M103)</f>
        <v/>
      </c>
      <c r="H687" s="4" t="inlineStr">
        <is>
          <t>calculation</t>
        </is>
      </c>
    </row>
    <row r="688">
      <c r="B688" s="4" t="inlineStr">
        <is>
          <t>Model</t>
        </is>
      </c>
      <c r="C688" s="8" t="inlineStr">
        <is>
          <t>tax</t>
        </is>
      </c>
      <c r="D688" s="4" t="inlineStr">
        <is>
          <t>법인세</t>
        </is>
      </c>
      <c r="E688" s="4" t="inlineStr">
        <is>
          <t>2028</t>
        </is>
      </c>
      <c r="F688" s="8" t="inlineStr">
        <is>
          <t>N102</t>
        </is>
      </c>
      <c r="G688" s="4">
        <f>(MAX(N100,0.0)*N103)</f>
        <v/>
      </c>
      <c r="H688" s="4" t="inlineStr">
        <is>
          <t>calculation</t>
        </is>
      </c>
    </row>
    <row r="689">
      <c r="B689" s="4" t="inlineStr">
        <is>
          <t>Model</t>
        </is>
      </c>
      <c r="C689" s="8" t="inlineStr">
        <is>
          <t>tax</t>
        </is>
      </c>
      <c r="D689" s="4" t="inlineStr">
        <is>
          <t>법인세</t>
        </is>
      </c>
      <c r="E689" s="4" t="inlineStr">
        <is>
          <t>2029</t>
        </is>
      </c>
      <c r="F689" s="8" t="inlineStr">
        <is>
          <t>O102</t>
        </is>
      </c>
      <c r="G689" s="4">
        <f>(MAX(O100,0.0)*O103)</f>
        <v/>
      </c>
      <c r="H689" s="4" t="inlineStr">
        <is>
          <t>calculation</t>
        </is>
      </c>
    </row>
    <row r="690">
      <c r="B690" s="4" t="inlineStr">
        <is>
          <t>Model</t>
        </is>
      </c>
      <c r="C690" s="8" t="inlineStr">
        <is>
          <t>tax_rate</t>
        </is>
      </c>
      <c r="D690" s="4" t="inlineStr">
        <is>
          <t>법인세율</t>
        </is>
      </c>
      <c r="E690" s="4" t="inlineStr">
        <is>
          <t>2023</t>
        </is>
      </c>
      <c r="F690" s="8" t="inlineStr">
        <is>
          <t>I103</t>
        </is>
      </c>
      <c r="G690" s="4">
        <f>'Assumptions'!I55</f>
        <v/>
      </c>
      <c r="H690" s="4" t="inlineStr">
        <is>
          <t>input link</t>
        </is>
      </c>
    </row>
    <row r="691">
      <c r="B691" s="4" t="inlineStr">
        <is>
          <t>Model</t>
        </is>
      </c>
      <c r="C691" s="8" t="inlineStr">
        <is>
          <t>tax_rate</t>
        </is>
      </c>
      <c r="D691" s="4" t="inlineStr">
        <is>
          <t>법인세율</t>
        </is>
      </c>
      <c r="E691" s="4" t="inlineStr">
        <is>
          <t>2024</t>
        </is>
      </c>
      <c r="F691" s="8" t="inlineStr">
        <is>
          <t>J103</t>
        </is>
      </c>
      <c r="G691" s="4">
        <f>'Assumptions'!J55</f>
        <v/>
      </c>
      <c r="H691" s="4" t="inlineStr">
        <is>
          <t>input link</t>
        </is>
      </c>
    </row>
    <row r="692">
      <c r="B692" s="4" t="inlineStr">
        <is>
          <t>Model</t>
        </is>
      </c>
      <c r="C692" s="8" t="inlineStr">
        <is>
          <t>tax_rate</t>
        </is>
      </c>
      <c r="D692" s="4" t="inlineStr">
        <is>
          <t>법인세율</t>
        </is>
      </c>
      <c r="E692" s="4" t="inlineStr">
        <is>
          <t>2025</t>
        </is>
      </c>
      <c r="F692" s="8" t="inlineStr">
        <is>
          <t>K103</t>
        </is>
      </c>
      <c r="G692" s="4">
        <f>'Assumptions'!K55</f>
        <v/>
      </c>
      <c r="H692" s="4" t="inlineStr">
        <is>
          <t>input link</t>
        </is>
      </c>
    </row>
    <row r="693">
      <c r="B693" s="4" t="inlineStr">
        <is>
          <t>Model</t>
        </is>
      </c>
      <c r="C693" s="8" t="inlineStr">
        <is>
          <t>tax_rate</t>
        </is>
      </c>
      <c r="D693" s="4" t="inlineStr">
        <is>
          <t>법인세율</t>
        </is>
      </c>
      <c r="E693" s="4" t="inlineStr">
        <is>
          <t>2026</t>
        </is>
      </c>
      <c r="F693" s="8" t="inlineStr">
        <is>
          <t>L103</t>
        </is>
      </c>
      <c r="G693" s="4">
        <f>'Assumptions'!L55</f>
        <v/>
      </c>
      <c r="H693" s="4" t="inlineStr">
        <is>
          <t>input link</t>
        </is>
      </c>
    </row>
    <row r="694">
      <c r="B694" s="4" t="inlineStr">
        <is>
          <t>Model</t>
        </is>
      </c>
      <c r="C694" s="8" t="inlineStr">
        <is>
          <t>tax_rate</t>
        </is>
      </c>
      <c r="D694" s="4" t="inlineStr">
        <is>
          <t>법인세율</t>
        </is>
      </c>
      <c r="E694" s="4" t="inlineStr">
        <is>
          <t>2027</t>
        </is>
      </c>
      <c r="F694" s="8" t="inlineStr">
        <is>
          <t>M103</t>
        </is>
      </c>
      <c r="G694" s="4">
        <f>'Assumptions'!M55</f>
        <v/>
      </c>
      <c r="H694" s="4" t="inlineStr">
        <is>
          <t>input link</t>
        </is>
      </c>
    </row>
    <row r="695">
      <c r="B695" s="4" t="inlineStr">
        <is>
          <t>Model</t>
        </is>
      </c>
      <c r="C695" s="8" t="inlineStr">
        <is>
          <t>tax_rate</t>
        </is>
      </c>
      <c r="D695" s="4" t="inlineStr">
        <is>
          <t>법인세율</t>
        </is>
      </c>
      <c r="E695" s="4" t="inlineStr">
        <is>
          <t>2028</t>
        </is>
      </c>
      <c r="F695" s="8" t="inlineStr">
        <is>
          <t>N103</t>
        </is>
      </c>
      <c r="G695" s="4">
        <f>'Assumptions'!N55</f>
        <v/>
      </c>
      <c r="H695" s="4" t="inlineStr">
        <is>
          <t>input link</t>
        </is>
      </c>
    </row>
    <row r="696">
      <c r="B696" s="4" t="inlineStr">
        <is>
          <t>Model</t>
        </is>
      </c>
      <c r="C696" s="8" t="inlineStr">
        <is>
          <t>tax_rate</t>
        </is>
      </c>
      <c r="D696" s="4" t="inlineStr">
        <is>
          <t>법인세율</t>
        </is>
      </c>
      <c r="E696" s="4" t="inlineStr">
        <is>
          <t>2029</t>
        </is>
      </c>
      <c r="F696" s="8" t="inlineStr">
        <is>
          <t>O103</t>
        </is>
      </c>
      <c r="G696" s="4">
        <f>'Assumptions'!O55</f>
        <v/>
      </c>
      <c r="H696" s="4" t="inlineStr">
        <is>
          <t>input link</t>
        </is>
      </c>
    </row>
    <row r="697">
      <c r="B697" s="4" t="inlineStr">
        <is>
          <t>Model</t>
        </is>
      </c>
      <c r="C697" s="8" t="inlineStr">
        <is>
          <t>ebiat</t>
        </is>
      </c>
      <c r="D697" s="4" t="inlineStr">
        <is>
          <t>세후영업이익</t>
        </is>
      </c>
      <c r="E697" s="4" t="inlineStr">
        <is>
          <t>2023</t>
        </is>
      </c>
      <c r="F697" s="8" t="inlineStr">
        <is>
          <t>I104</t>
        </is>
      </c>
      <c r="G697" s="4">
        <f>(I100-I102)</f>
        <v/>
      </c>
      <c r="H697" s="4" t="inlineStr">
        <is>
          <t>calculation</t>
        </is>
      </c>
    </row>
    <row r="698">
      <c r="B698" s="4" t="inlineStr">
        <is>
          <t>Model</t>
        </is>
      </c>
      <c r="C698" s="8" t="inlineStr">
        <is>
          <t>ebiat</t>
        </is>
      </c>
      <c r="D698" s="4" t="inlineStr">
        <is>
          <t>세후영업이익</t>
        </is>
      </c>
      <c r="E698" s="4" t="inlineStr">
        <is>
          <t>2024</t>
        </is>
      </c>
      <c r="F698" s="8" t="inlineStr">
        <is>
          <t>J104</t>
        </is>
      </c>
      <c r="G698" s="4">
        <f>(J100-J102)</f>
        <v/>
      </c>
      <c r="H698" s="4" t="inlineStr">
        <is>
          <t>calculation</t>
        </is>
      </c>
    </row>
    <row r="699">
      <c r="B699" s="4" t="inlineStr">
        <is>
          <t>Model</t>
        </is>
      </c>
      <c r="C699" s="8" t="inlineStr">
        <is>
          <t>ebiat</t>
        </is>
      </c>
      <c r="D699" s="4" t="inlineStr">
        <is>
          <t>세후영업이익</t>
        </is>
      </c>
      <c r="E699" s="4" t="inlineStr">
        <is>
          <t>2025</t>
        </is>
      </c>
      <c r="F699" s="8" t="inlineStr">
        <is>
          <t>K104</t>
        </is>
      </c>
      <c r="G699" s="4">
        <f>(K100-K102)</f>
        <v/>
      </c>
      <c r="H699" s="4" t="inlineStr">
        <is>
          <t>calculation</t>
        </is>
      </c>
    </row>
    <row r="700">
      <c r="B700" s="4" t="inlineStr">
        <is>
          <t>Model</t>
        </is>
      </c>
      <c r="C700" s="8" t="inlineStr">
        <is>
          <t>ebiat</t>
        </is>
      </c>
      <c r="D700" s="4" t="inlineStr">
        <is>
          <t>세후영업이익</t>
        </is>
      </c>
      <c r="E700" s="4" t="inlineStr">
        <is>
          <t>2026</t>
        </is>
      </c>
      <c r="F700" s="8" t="inlineStr">
        <is>
          <t>L104</t>
        </is>
      </c>
      <c r="G700" s="4">
        <f>(L100-L102)</f>
        <v/>
      </c>
      <c r="H700" s="4" t="inlineStr">
        <is>
          <t>calculation</t>
        </is>
      </c>
    </row>
    <row r="701">
      <c r="B701" s="4" t="inlineStr">
        <is>
          <t>Model</t>
        </is>
      </c>
      <c r="C701" s="8" t="inlineStr">
        <is>
          <t>ebiat</t>
        </is>
      </c>
      <c r="D701" s="4" t="inlineStr">
        <is>
          <t>세후영업이익</t>
        </is>
      </c>
      <c r="E701" s="4" t="inlineStr">
        <is>
          <t>2027</t>
        </is>
      </c>
      <c r="F701" s="8" t="inlineStr">
        <is>
          <t>M104</t>
        </is>
      </c>
      <c r="G701" s="4">
        <f>(M100-M102)</f>
        <v/>
      </c>
      <c r="H701" s="4" t="inlineStr">
        <is>
          <t>calculation</t>
        </is>
      </c>
    </row>
    <row r="702">
      <c r="B702" s="4" t="inlineStr">
        <is>
          <t>Model</t>
        </is>
      </c>
      <c r="C702" s="8" t="inlineStr">
        <is>
          <t>ebiat</t>
        </is>
      </c>
      <c r="D702" s="4" t="inlineStr">
        <is>
          <t>세후영업이익</t>
        </is>
      </c>
      <c r="E702" s="4" t="inlineStr">
        <is>
          <t>2028</t>
        </is>
      </c>
      <c r="F702" s="8" t="inlineStr">
        <is>
          <t>N104</t>
        </is>
      </c>
      <c r="G702" s="4">
        <f>(N100-N102)</f>
        <v/>
      </c>
      <c r="H702" s="4" t="inlineStr">
        <is>
          <t>calculation</t>
        </is>
      </c>
    </row>
    <row r="703">
      <c r="B703" s="4" t="inlineStr">
        <is>
          <t>Model</t>
        </is>
      </c>
      <c r="C703" s="8" t="inlineStr">
        <is>
          <t>ebiat</t>
        </is>
      </c>
      <c r="D703" s="4" t="inlineStr">
        <is>
          <t>세후영업이익</t>
        </is>
      </c>
      <c r="E703" s="4" t="inlineStr">
        <is>
          <t>2029</t>
        </is>
      </c>
      <c r="F703" s="8" t="inlineStr">
        <is>
          <t>O104</t>
        </is>
      </c>
      <c r="G703" s="4">
        <f>(O100-O102)</f>
        <v/>
      </c>
      <c r="H703" s="4" t="inlineStr">
        <is>
          <t>calculation</t>
        </is>
      </c>
    </row>
    <row r="704">
      <c r="B704" s="4" t="inlineStr">
        <is>
          <t>Model</t>
        </is>
      </c>
      <c r="C704" s="8" t="inlineStr">
        <is>
          <t>nwc</t>
        </is>
      </c>
      <c r="D704" s="4" t="inlineStr">
        <is>
          <t>운전자본</t>
        </is>
      </c>
      <c r="E704" s="4" t="inlineStr">
        <is>
          <t>2023</t>
        </is>
      </c>
      <c r="F704" s="8" t="inlineStr">
        <is>
          <t>I105</t>
        </is>
      </c>
      <c r="G704" s="4">
        <f>(I6*I106)</f>
        <v/>
      </c>
      <c r="H704" s="4" t="inlineStr">
        <is>
          <t>calculation</t>
        </is>
      </c>
    </row>
    <row r="705">
      <c r="B705" s="4" t="inlineStr">
        <is>
          <t>Model</t>
        </is>
      </c>
      <c r="C705" s="8" t="inlineStr">
        <is>
          <t>nwc</t>
        </is>
      </c>
      <c r="D705" s="4" t="inlineStr">
        <is>
          <t>운전자본</t>
        </is>
      </c>
      <c r="E705" s="4" t="inlineStr">
        <is>
          <t>2024</t>
        </is>
      </c>
      <c r="F705" s="8" t="inlineStr">
        <is>
          <t>J105</t>
        </is>
      </c>
      <c r="G705" s="4">
        <f>(J6*J106)</f>
        <v/>
      </c>
      <c r="H705" s="4" t="inlineStr">
        <is>
          <t>calculation</t>
        </is>
      </c>
    </row>
    <row r="706">
      <c r="B706" s="4" t="inlineStr">
        <is>
          <t>Model</t>
        </is>
      </c>
      <c r="C706" s="8" t="inlineStr">
        <is>
          <t>nwc</t>
        </is>
      </c>
      <c r="D706" s="4" t="inlineStr">
        <is>
          <t>운전자본</t>
        </is>
      </c>
      <c r="E706" s="4" t="inlineStr">
        <is>
          <t>2025</t>
        </is>
      </c>
      <c r="F706" s="8" t="inlineStr">
        <is>
          <t>K105</t>
        </is>
      </c>
      <c r="G706" s="4">
        <f>(K6*K106)</f>
        <v/>
      </c>
      <c r="H706" s="4" t="inlineStr">
        <is>
          <t>calculation</t>
        </is>
      </c>
    </row>
    <row r="707">
      <c r="B707" s="4" t="inlineStr">
        <is>
          <t>Model</t>
        </is>
      </c>
      <c r="C707" s="8" t="inlineStr">
        <is>
          <t>nwc</t>
        </is>
      </c>
      <c r="D707" s="4" t="inlineStr">
        <is>
          <t>운전자본</t>
        </is>
      </c>
      <c r="E707" s="4" t="inlineStr">
        <is>
          <t>2026</t>
        </is>
      </c>
      <c r="F707" s="8" t="inlineStr">
        <is>
          <t>L105</t>
        </is>
      </c>
      <c r="G707" s="4">
        <f>(L6*L106)</f>
        <v/>
      </c>
      <c r="H707" s="4" t="inlineStr">
        <is>
          <t>calculation</t>
        </is>
      </c>
    </row>
    <row r="708">
      <c r="B708" s="4" t="inlineStr">
        <is>
          <t>Model</t>
        </is>
      </c>
      <c r="C708" s="8" t="inlineStr">
        <is>
          <t>nwc</t>
        </is>
      </c>
      <c r="D708" s="4" t="inlineStr">
        <is>
          <t>운전자본</t>
        </is>
      </c>
      <c r="E708" s="4" t="inlineStr">
        <is>
          <t>2027</t>
        </is>
      </c>
      <c r="F708" s="8" t="inlineStr">
        <is>
          <t>M105</t>
        </is>
      </c>
      <c r="G708" s="4">
        <f>(M6*M106)</f>
        <v/>
      </c>
      <c r="H708" s="4" t="inlineStr">
        <is>
          <t>calculation</t>
        </is>
      </c>
    </row>
    <row r="709">
      <c r="B709" s="4" t="inlineStr">
        <is>
          <t>Model</t>
        </is>
      </c>
      <c r="C709" s="8" t="inlineStr">
        <is>
          <t>nwc</t>
        </is>
      </c>
      <c r="D709" s="4" t="inlineStr">
        <is>
          <t>운전자본</t>
        </is>
      </c>
      <c r="E709" s="4" t="inlineStr">
        <is>
          <t>2028</t>
        </is>
      </c>
      <c r="F709" s="8" t="inlineStr">
        <is>
          <t>N105</t>
        </is>
      </c>
      <c r="G709" s="4">
        <f>(N6*N106)</f>
        <v/>
      </c>
      <c r="H709" s="4" t="inlineStr">
        <is>
          <t>calculation</t>
        </is>
      </c>
    </row>
    <row r="710">
      <c r="B710" s="4" t="inlineStr">
        <is>
          <t>Model</t>
        </is>
      </c>
      <c r="C710" s="8" t="inlineStr">
        <is>
          <t>nwc</t>
        </is>
      </c>
      <c r="D710" s="4" t="inlineStr">
        <is>
          <t>운전자본</t>
        </is>
      </c>
      <c r="E710" s="4" t="inlineStr">
        <is>
          <t>2029</t>
        </is>
      </c>
      <c r="F710" s="8" t="inlineStr">
        <is>
          <t>O105</t>
        </is>
      </c>
      <c r="G710" s="4">
        <f>(O6*O106)</f>
        <v/>
      </c>
      <c r="H710" s="4" t="inlineStr">
        <is>
          <t>calculation</t>
        </is>
      </c>
    </row>
    <row r="711">
      <c r="B711" s="4" t="inlineStr">
        <is>
          <t>Model</t>
        </is>
      </c>
      <c r="C711" s="8" t="inlineStr">
        <is>
          <t>nwc_rate</t>
        </is>
      </c>
      <c r="D711" s="4" t="inlineStr">
        <is>
          <t>운전자본율</t>
        </is>
      </c>
      <c r="E711" s="4" t="inlineStr">
        <is>
          <t>2023</t>
        </is>
      </c>
      <c r="F711" s="8" t="inlineStr">
        <is>
          <t>I106</t>
        </is>
      </c>
      <c r="G711" s="4">
        <f>'Assumptions'!I56</f>
        <v/>
      </c>
      <c r="H711" s="4" t="inlineStr">
        <is>
          <t>input link</t>
        </is>
      </c>
    </row>
    <row r="712">
      <c r="B712" s="4" t="inlineStr">
        <is>
          <t>Model</t>
        </is>
      </c>
      <c r="C712" s="8" t="inlineStr">
        <is>
          <t>nwc_rate</t>
        </is>
      </c>
      <c r="D712" s="4" t="inlineStr">
        <is>
          <t>운전자본율</t>
        </is>
      </c>
      <c r="E712" s="4" t="inlineStr">
        <is>
          <t>2024</t>
        </is>
      </c>
      <c r="F712" s="8" t="inlineStr">
        <is>
          <t>J106</t>
        </is>
      </c>
      <c r="G712" s="4">
        <f>'Assumptions'!J56</f>
        <v/>
      </c>
      <c r="H712" s="4" t="inlineStr">
        <is>
          <t>input link</t>
        </is>
      </c>
    </row>
    <row r="713">
      <c r="B713" s="4" t="inlineStr">
        <is>
          <t>Model</t>
        </is>
      </c>
      <c r="C713" s="8" t="inlineStr">
        <is>
          <t>nwc_rate</t>
        </is>
      </c>
      <c r="D713" s="4" t="inlineStr">
        <is>
          <t>운전자본율</t>
        </is>
      </c>
      <c r="E713" s="4" t="inlineStr">
        <is>
          <t>2025</t>
        </is>
      </c>
      <c r="F713" s="8" t="inlineStr">
        <is>
          <t>K106</t>
        </is>
      </c>
      <c r="G713" s="4">
        <f>'Assumptions'!K56</f>
        <v/>
      </c>
      <c r="H713" s="4" t="inlineStr">
        <is>
          <t>input link</t>
        </is>
      </c>
    </row>
    <row r="714">
      <c r="B714" s="4" t="inlineStr">
        <is>
          <t>Model</t>
        </is>
      </c>
      <c r="C714" s="8" t="inlineStr">
        <is>
          <t>nwc_rate</t>
        </is>
      </c>
      <c r="D714" s="4" t="inlineStr">
        <is>
          <t>운전자본율</t>
        </is>
      </c>
      <c r="E714" s="4" t="inlineStr">
        <is>
          <t>2026</t>
        </is>
      </c>
      <c r="F714" s="8" t="inlineStr">
        <is>
          <t>L106</t>
        </is>
      </c>
      <c r="G714" s="4">
        <f>'Assumptions'!L56</f>
        <v/>
      </c>
      <c r="H714" s="4" t="inlineStr">
        <is>
          <t>input link</t>
        </is>
      </c>
    </row>
    <row r="715">
      <c r="B715" s="4" t="inlineStr">
        <is>
          <t>Model</t>
        </is>
      </c>
      <c r="C715" s="8" t="inlineStr">
        <is>
          <t>nwc_rate</t>
        </is>
      </c>
      <c r="D715" s="4" t="inlineStr">
        <is>
          <t>운전자본율</t>
        </is>
      </c>
      <c r="E715" s="4" t="inlineStr">
        <is>
          <t>2027</t>
        </is>
      </c>
      <c r="F715" s="8" t="inlineStr">
        <is>
          <t>M106</t>
        </is>
      </c>
      <c r="G715" s="4">
        <f>'Assumptions'!M56</f>
        <v/>
      </c>
      <c r="H715" s="4" t="inlineStr">
        <is>
          <t>input link</t>
        </is>
      </c>
    </row>
    <row r="716">
      <c r="B716" s="4" t="inlineStr">
        <is>
          <t>Model</t>
        </is>
      </c>
      <c r="C716" s="8" t="inlineStr">
        <is>
          <t>nwc_rate</t>
        </is>
      </c>
      <c r="D716" s="4" t="inlineStr">
        <is>
          <t>운전자본율</t>
        </is>
      </c>
      <c r="E716" s="4" t="inlineStr">
        <is>
          <t>2028</t>
        </is>
      </c>
      <c r="F716" s="8" t="inlineStr">
        <is>
          <t>N106</t>
        </is>
      </c>
      <c r="G716" s="4">
        <f>'Assumptions'!N56</f>
        <v/>
      </c>
      <c r="H716" s="4" t="inlineStr">
        <is>
          <t>input link</t>
        </is>
      </c>
    </row>
    <row r="717">
      <c r="B717" s="4" t="inlineStr">
        <is>
          <t>Model</t>
        </is>
      </c>
      <c r="C717" s="8" t="inlineStr">
        <is>
          <t>nwc_rate</t>
        </is>
      </c>
      <c r="D717" s="4" t="inlineStr">
        <is>
          <t>운전자본율</t>
        </is>
      </c>
      <c r="E717" s="4" t="inlineStr">
        <is>
          <t>2029</t>
        </is>
      </c>
      <c r="F717" s="8" t="inlineStr">
        <is>
          <t>O106</t>
        </is>
      </c>
      <c r="G717" s="4">
        <f>'Assumptions'!O56</f>
        <v/>
      </c>
      <c r="H717" s="4" t="inlineStr">
        <is>
          <t>input link</t>
        </is>
      </c>
    </row>
    <row r="718">
      <c r="B718" s="4" t="inlineStr">
        <is>
          <t>Model</t>
        </is>
      </c>
      <c r="C718" s="8" t="inlineStr">
        <is>
          <t>change_nwc</t>
        </is>
      </c>
      <c r="D718" s="4" t="inlineStr">
        <is>
          <t>운전자본 증가</t>
        </is>
      </c>
      <c r="E718" s="4" t="inlineStr">
        <is>
          <t>2023</t>
        </is>
      </c>
      <c r="F718" s="8" t="inlineStr">
        <is>
          <t>I107</t>
        </is>
      </c>
      <c r="G718" s="4">
        <f>(I105-0)</f>
        <v/>
      </c>
      <c r="H718" s="4" t="inlineStr">
        <is>
          <t>calculation</t>
        </is>
      </c>
    </row>
    <row r="719">
      <c r="B719" s="4" t="inlineStr">
        <is>
          <t>Model</t>
        </is>
      </c>
      <c r="C719" s="8" t="inlineStr">
        <is>
          <t>change_nwc</t>
        </is>
      </c>
      <c r="D719" s="4" t="inlineStr">
        <is>
          <t>운전자본 증가</t>
        </is>
      </c>
      <c r="E719" s="4" t="inlineStr">
        <is>
          <t>2024</t>
        </is>
      </c>
      <c r="F719" s="8" t="inlineStr">
        <is>
          <t>J107</t>
        </is>
      </c>
      <c r="G719" s="4">
        <f>(J105-I105)</f>
        <v/>
      </c>
      <c r="H719" s="4" t="inlineStr">
        <is>
          <t>calculation</t>
        </is>
      </c>
    </row>
    <row r="720">
      <c r="B720" s="4" t="inlineStr">
        <is>
          <t>Model</t>
        </is>
      </c>
      <c r="C720" s="8" t="inlineStr">
        <is>
          <t>change_nwc</t>
        </is>
      </c>
      <c r="D720" s="4" t="inlineStr">
        <is>
          <t>운전자본 증가</t>
        </is>
      </c>
      <c r="E720" s="4" t="inlineStr">
        <is>
          <t>2025</t>
        </is>
      </c>
      <c r="F720" s="8" t="inlineStr">
        <is>
          <t>K107</t>
        </is>
      </c>
      <c r="G720" s="4">
        <f>(K105-J105)</f>
        <v/>
      </c>
      <c r="H720" s="4" t="inlineStr">
        <is>
          <t>calculation</t>
        </is>
      </c>
    </row>
    <row r="721">
      <c r="B721" s="4" t="inlineStr">
        <is>
          <t>Model</t>
        </is>
      </c>
      <c r="C721" s="8" t="inlineStr">
        <is>
          <t>change_nwc</t>
        </is>
      </c>
      <c r="D721" s="4" t="inlineStr">
        <is>
          <t>운전자본 증가</t>
        </is>
      </c>
      <c r="E721" s="4" t="inlineStr">
        <is>
          <t>2026</t>
        </is>
      </c>
      <c r="F721" s="8" t="inlineStr">
        <is>
          <t>L107</t>
        </is>
      </c>
      <c r="G721" s="4">
        <f>(L105-K105)</f>
        <v/>
      </c>
      <c r="H721" s="4" t="inlineStr">
        <is>
          <t>calculation</t>
        </is>
      </c>
    </row>
    <row r="722">
      <c r="B722" s="4" t="inlineStr">
        <is>
          <t>Model</t>
        </is>
      </c>
      <c r="C722" s="8" t="inlineStr">
        <is>
          <t>change_nwc</t>
        </is>
      </c>
      <c r="D722" s="4" t="inlineStr">
        <is>
          <t>운전자본 증가</t>
        </is>
      </c>
      <c r="E722" s="4" t="inlineStr">
        <is>
          <t>2027</t>
        </is>
      </c>
      <c r="F722" s="8" t="inlineStr">
        <is>
          <t>M107</t>
        </is>
      </c>
      <c r="G722" s="4">
        <f>(M105-L105)</f>
        <v/>
      </c>
      <c r="H722" s="4" t="inlineStr">
        <is>
          <t>calculation</t>
        </is>
      </c>
    </row>
    <row r="723">
      <c r="B723" s="4" t="inlineStr">
        <is>
          <t>Model</t>
        </is>
      </c>
      <c r="C723" s="8" t="inlineStr">
        <is>
          <t>change_nwc</t>
        </is>
      </c>
      <c r="D723" s="4" t="inlineStr">
        <is>
          <t>운전자본 증가</t>
        </is>
      </c>
      <c r="E723" s="4" t="inlineStr">
        <is>
          <t>2028</t>
        </is>
      </c>
      <c r="F723" s="8" t="inlineStr">
        <is>
          <t>N107</t>
        </is>
      </c>
      <c r="G723" s="4">
        <f>(N105-M105)</f>
        <v/>
      </c>
      <c r="H723" s="4" t="inlineStr">
        <is>
          <t>calculation</t>
        </is>
      </c>
    </row>
    <row r="724">
      <c r="B724" s="4" t="inlineStr">
        <is>
          <t>Model</t>
        </is>
      </c>
      <c r="C724" s="8" t="inlineStr">
        <is>
          <t>change_nwc</t>
        </is>
      </c>
      <c r="D724" s="4" t="inlineStr">
        <is>
          <t>운전자본 증가</t>
        </is>
      </c>
      <c r="E724" s="4" t="inlineStr">
        <is>
          <t>2029</t>
        </is>
      </c>
      <c r="F724" s="8" t="inlineStr">
        <is>
          <t>O107</t>
        </is>
      </c>
      <c r="G724" s="4">
        <f>(O105-N105)</f>
        <v/>
      </c>
      <c r="H724" s="4" t="inlineStr">
        <is>
          <t>calculation</t>
        </is>
      </c>
    </row>
    <row r="725">
      <c r="B725" s="4" t="inlineStr">
        <is>
          <t>Model</t>
        </is>
      </c>
      <c r="C725" s="8" t="inlineStr">
        <is>
          <t>capex</t>
        </is>
      </c>
      <c r="D725" s="4" t="inlineStr">
        <is>
          <t>CapEx</t>
        </is>
      </c>
      <c r="E725" s="4" t="inlineStr">
        <is>
          <t>2023</t>
        </is>
      </c>
      <c r="F725" s="8" t="inlineStr">
        <is>
          <t>I108</t>
        </is>
      </c>
      <c r="G725" s="4">
        <f>'Assumptions'!I57</f>
        <v/>
      </c>
      <c r="H725" s="4" t="inlineStr">
        <is>
          <t>input link</t>
        </is>
      </c>
    </row>
    <row r="726">
      <c r="B726" s="4" t="inlineStr">
        <is>
          <t>Model</t>
        </is>
      </c>
      <c r="C726" s="8" t="inlineStr">
        <is>
          <t>capex</t>
        </is>
      </c>
      <c r="D726" s="4" t="inlineStr">
        <is>
          <t>CapEx</t>
        </is>
      </c>
      <c r="E726" s="4" t="inlineStr">
        <is>
          <t>2024</t>
        </is>
      </c>
      <c r="F726" s="8" t="inlineStr">
        <is>
          <t>J108</t>
        </is>
      </c>
      <c r="G726" s="4">
        <f>'Assumptions'!J57</f>
        <v/>
      </c>
      <c r="H726" s="4" t="inlineStr">
        <is>
          <t>input link</t>
        </is>
      </c>
    </row>
    <row r="727">
      <c r="B727" s="4" t="inlineStr">
        <is>
          <t>Model</t>
        </is>
      </c>
      <c r="C727" s="8" t="inlineStr">
        <is>
          <t>capex</t>
        </is>
      </c>
      <c r="D727" s="4" t="inlineStr">
        <is>
          <t>CapEx</t>
        </is>
      </c>
      <c r="E727" s="4" t="inlineStr">
        <is>
          <t>2025</t>
        </is>
      </c>
      <c r="F727" s="8" t="inlineStr">
        <is>
          <t>K108</t>
        </is>
      </c>
      <c r="G727" s="4">
        <f>'Assumptions'!K57</f>
        <v/>
      </c>
      <c r="H727" s="4" t="inlineStr">
        <is>
          <t>input link</t>
        </is>
      </c>
    </row>
    <row r="728">
      <c r="B728" s="4" t="inlineStr">
        <is>
          <t>Model</t>
        </is>
      </c>
      <c r="C728" s="8" t="inlineStr">
        <is>
          <t>capex</t>
        </is>
      </c>
      <c r="D728" s="4" t="inlineStr">
        <is>
          <t>CapEx</t>
        </is>
      </c>
      <c r="E728" s="4" t="inlineStr">
        <is>
          <t>2026</t>
        </is>
      </c>
      <c r="F728" s="8" t="inlineStr">
        <is>
          <t>L108</t>
        </is>
      </c>
      <c r="G728" s="4">
        <f>'Assumptions'!L57</f>
        <v/>
      </c>
      <c r="H728" s="4" t="inlineStr">
        <is>
          <t>input link</t>
        </is>
      </c>
    </row>
    <row r="729">
      <c r="B729" s="4" t="inlineStr">
        <is>
          <t>Model</t>
        </is>
      </c>
      <c r="C729" s="8" t="inlineStr">
        <is>
          <t>capex</t>
        </is>
      </c>
      <c r="D729" s="4" t="inlineStr">
        <is>
          <t>CapEx</t>
        </is>
      </c>
      <c r="E729" s="4" t="inlineStr">
        <is>
          <t>2027</t>
        </is>
      </c>
      <c r="F729" s="8" t="inlineStr">
        <is>
          <t>M108</t>
        </is>
      </c>
      <c r="G729" s="4">
        <f>'Assumptions'!M57</f>
        <v/>
      </c>
      <c r="H729" s="4" t="inlineStr">
        <is>
          <t>input link</t>
        </is>
      </c>
    </row>
    <row r="730">
      <c r="B730" s="4" t="inlineStr">
        <is>
          <t>Model</t>
        </is>
      </c>
      <c r="C730" s="8" t="inlineStr">
        <is>
          <t>capex</t>
        </is>
      </c>
      <c r="D730" s="4" t="inlineStr">
        <is>
          <t>CapEx</t>
        </is>
      </c>
      <c r="E730" s="4" t="inlineStr">
        <is>
          <t>2028</t>
        </is>
      </c>
      <c r="F730" s="8" t="inlineStr">
        <is>
          <t>N108</t>
        </is>
      </c>
      <c r="G730" s="4">
        <f>'Assumptions'!N57</f>
        <v/>
      </c>
      <c r="H730" s="4" t="inlineStr">
        <is>
          <t>input link</t>
        </is>
      </c>
    </row>
    <row r="731">
      <c r="B731" s="4" t="inlineStr">
        <is>
          <t>Model</t>
        </is>
      </c>
      <c r="C731" s="8" t="inlineStr">
        <is>
          <t>capex</t>
        </is>
      </c>
      <c r="D731" s="4" t="inlineStr">
        <is>
          <t>CapEx</t>
        </is>
      </c>
      <c r="E731" s="4" t="inlineStr">
        <is>
          <t>2029</t>
        </is>
      </c>
      <c r="F731" s="8" t="inlineStr">
        <is>
          <t>O108</t>
        </is>
      </c>
      <c r="G731" s="4">
        <f>'Assumptions'!O57</f>
        <v/>
      </c>
      <c r="H731" s="4" t="inlineStr">
        <is>
          <t>input link</t>
        </is>
      </c>
    </row>
    <row r="732">
      <c r="B732" s="4" t="inlineStr">
        <is>
          <t>Model</t>
        </is>
      </c>
      <c r="C732" s="8" t="inlineStr">
        <is>
          <t>valuation</t>
        </is>
      </c>
      <c r="D732" s="4" t="inlineStr">
        <is>
          <t>Valuation</t>
        </is>
      </c>
      <c r="E732" s="4" t="inlineStr">
        <is>
          <t>2023</t>
        </is>
      </c>
      <c r="F732" s="8" t="inlineStr">
        <is>
          <t>I109</t>
        </is>
      </c>
      <c r="G732" s="4">
        <f>I116</f>
        <v/>
      </c>
      <c r="H732" s="4" t="inlineStr">
        <is>
          <t>calculation</t>
        </is>
      </c>
    </row>
    <row r="733">
      <c r="B733" s="4" t="inlineStr">
        <is>
          <t>Model</t>
        </is>
      </c>
      <c r="C733" s="8" t="inlineStr">
        <is>
          <t>valuation</t>
        </is>
      </c>
      <c r="D733" s="4" t="inlineStr">
        <is>
          <t>Valuation</t>
        </is>
      </c>
      <c r="E733" s="4" t="inlineStr">
        <is>
          <t>2024</t>
        </is>
      </c>
      <c r="F733" s="8" t="inlineStr">
        <is>
          <t>J109</t>
        </is>
      </c>
      <c r="G733" s="4">
        <f>J116</f>
        <v/>
      </c>
      <c r="H733" s="4" t="inlineStr">
        <is>
          <t>calculation</t>
        </is>
      </c>
    </row>
    <row r="734">
      <c r="B734" s="4" t="inlineStr">
        <is>
          <t>Model</t>
        </is>
      </c>
      <c r="C734" s="8" t="inlineStr">
        <is>
          <t>valuation</t>
        </is>
      </c>
      <c r="D734" s="4" t="inlineStr">
        <is>
          <t>Valuation</t>
        </is>
      </c>
      <c r="E734" s="4" t="inlineStr">
        <is>
          <t>2025</t>
        </is>
      </c>
      <c r="F734" s="8" t="inlineStr">
        <is>
          <t>K109</t>
        </is>
      </c>
      <c r="G734" s="4">
        <f>K116</f>
        <v/>
      </c>
      <c r="H734" s="4" t="inlineStr">
        <is>
          <t>calculation</t>
        </is>
      </c>
    </row>
    <row r="735">
      <c r="B735" s="4" t="inlineStr">
        <is>
          <t>Model</t>
        </is>
      </c>
      <c r="C735" s="8" t="inlineStr">
        <is>
          <t>valuation</t>
        </is>
      </c>
      <c r="D735" s="4" t="inlineStr">
        <is>
          <t>Valuation</t>
        </is>
      </c>
      <c r="E735" s="4" t="inlineStr">
        <is>
          <t>2026</t>
        </is>
      </c>
      <c r="F735" s="8" t="inlineStr">
        <is>
          <t>L109</t>
        </is>
      </c>
      <c r="G735" s="4">
        <f>L116</f>
        <v/>
      </c>
      <c r="H735" s="4" t="inlineStr">
        <is>
          <t>calculation</t>
        </is>
      </c>
    </row>
    <row r="736">
      <c r="B736" s="4" t="inlineStr">
        <is>
          <t>Model</t>
        </is>
      </c>
      <c r="C736" s="8" t="inlineStr">
        <is>
          <t>valuation</t>
        </is>
      </c>
      <c r="D736" s="4" t="inlineStr">
        <is>
          <t>Valuation</t>
        </is>
      </c>
      <c r="E736" s="4" t="inlineStr">
        <is>
          <t>2027</t>
        </is>
      </c>
      <c r="F736" s="8" t="inlineStr">
        <is>
          <t>M109</t>
        </is>
      </c>
      <c r="G736" s="4">
        <f>M116</f>
        <v/>
      </c>
      <c r="H736" s="4" t="inlineStr">
        <is>
          <t>calculation</t>
        </is>
      </c>
    </row>
    <row r="737">
      <c r="B737" s="4" t="inlineStr">
        <is>
          <t>Model</t>
        </is>
      </c>
      <c r="C737" s="8" t="inlineStr">
        <is>
          <t>valuation</t>
        </is>
      </c>
      <c r="D737" s="4" t="inlineStr">
        <is>
          <t>Valuation</t>
        </is>
      </c>
      <c r="E737" s="4" t="inlineStr">
        <is>
          <t>2028</t>
        </is>
      </c>
      <c r="F737" s="8" t="inlineStr">
        <is>
          <t>N109</t>
        </is>
      </c>
      <c r="G737" s="4">
        <f>N116</f>
        <v/>
      </c>
      <c r="H737" s="4" t="inlineStr">
        <is>
          <t>calculation</t>
        </is>
      </c>
    </row>
    <row r="738">
      <c r="B738" s="4" t="inlineStr">
        <is>
          <t>Model</t>
        </is>
      </c>
      <c r="C738" s="8" t="inlineStr">
        <is>
          <t>valuation</t>
        </is>
      </c>
      <c r="D738" s="4" t="inlineStr">
        <is>
          <t>Valuation</t>
        </is>
      </c>
      <c r="E738" s="4" t="inlineStr">
        <is>
          <t>2029</t>
        </is>
      </c>
      <c r="F738" s="8" t="inlineStr">
        <is>
          <t>O109</t>
        </is>
      </c>
      <c r="G738" s="4">
        <f>O116</f>
        <v/>
      </c>
      <c r="H738" s="4" t="inlineStr">
        <is>
          <t>calculation</t>
        </is>
      </c>
    </row>
    <row r="739">
      <c r="B739" s="4" t="inlineStr">
        <is>
          <t>Model</t>
        </is>
      </c>
      <c r="C739" s="8" t="inlineStr">
        <is>
          <t>wacc</t>
        </is>
      </c>
      <c r="D739" s="4" t="inlineStr">
        <is>
          <t>WACC</t>
        </is>
      </c>
      <c r="E739" s="4" t="inlineStr">
        <is>
          <t>2023</t>
        </is>
      </c>
      <c r="F739" s="8" t="inlineStr">
        <is>
          <t>I110</t>
        </is>
      </c>
      <c r="G739" s="4">
        <f>'Assumptions'!I58</f>
        <v/>
      </c>
      <c r="H739" s="4" t="inlineStr">
        <is>
          <t>input link</t>
        </is>
      </c>
    </row>
    <row r="740">
      <c r="B740" s="4" t="inlineStr">
        <is>
          <t>Model</t>
        </is>
      </c>
      <c r="C740" s="8" t="inlineStr">
        <is>
          <t>wacc</t>
        </is>
      </c>
      <c r="D740" s="4" t="inlineStr">
        <is>
          <t>WACC</t>
        </is>
      </c>
      <c r="E740" s="4" t="inlineStr">
        <is>
          <t>2024</t>
        </is>
      </c>
      <c r="F740" s="8" t="inlineStr">
        <is>
          <t>J110</t>
        </is>
      </c>
      <c r="G740" s="4">
        <f>'Assumptions'!J58</f>
        <v/>
      </c>
      <c r="H740" s="4" t="inlineStr">
        <is>
          <t>input link</t>
        </is>
      </c>
    </row>
    <row r="741">
      <c r="B741" s="4" t="inlineStr">
        <is>
          <t>Model</t>
        </is>
      </c>
      <c r="C741" s="8" t="inlineStr">
        <is>
          <t>wacc</t>
        </is>
      </c>
      <c r="D741" s="4" t="inlineStr">
        <is>
          <t>WACC</t>
        </is>
      </c>
      <c r="E741" s="4" t="inlineStr">
        <is>
          <t>2025</t>
        </is>
      </c>
      <c r="F741" s="8" t="inlineStr">
        <is>
          <t>K110</t>
        </is>
      </c>
      <c r="G741" s="4">
        <f>'Assumptions'!K58</f>
        <v/>
      </c>
      <c r="H741" s="4" t="inlineStr">
        <is>
          <t>input link</t>
        </is>
      </c>
    </row>
    <row r="742">
      <c r="B742" s="4" t="inlineStr">
        <is>
          <t>Model</t>
        </is>
      </c>
      <c r="C742" s="8" t="inlineStr">
        <is>
          <t>wacc</t>
        </is>
      </c>
      <c r="D742" s="4" t="inlineStr">
        <is>
          <t>WACC</t>
        </is>
      </c>
      <c r="E742" s="4" t="inlineStr">
        <is>
          <t>2026</t>
        </is>
      </c>
      <c r="F742" s="8" t="inlineStr">
        <is>
          <t>L110</t>
        </is>
      </c>
      <c r="G742" s="4">
        <f>'Assumptions'!L58</f>
        <v/>
      </c>
      <c r="H742" s="4" t="inlineStr">
        <is>
          <t>input link</t>
        </is>
      </c>
    </row>
    <row r="743">
      <c r="B743" s="4" t="inlineStr">
        <is>
          <t>Model</t>
        </is>
      </c>
      <c r="C743" s="8" t="inlineStr">
        <is>
          <t>wacc</t>
        </is>
      </c>
      <c r="D743" s="4" t="inlineStr">
        <is>
          <t>WACC</t>
        </is>
      </c>
      <c r="E743" s="4" t="inlineStr">
        <is>
          <t>2027</t>
        </is>
      </c>
      <c r="F743" s="8" t="inlineStr">
        <is>
          <t>M110</t>
        </is>
      </c>
      <c r="G743" s="4">
        <f>'Assumptions'!M58</f>
        <v/>
      </c>
      <c r="H743" s="4" t="inlineStr">
        <is>
          <t>input link</t>
        </is>
      </c>
    </row>
    <row r="744">
      <c r="B744" s="4" t="inlineStr">
        <is>
          <t>Model</t>
        </is>
      </c>
      <c r="C744" s="8" t="inlineStr">
        <is>
          <t>wacc</t>
        </is>
      </c>
      <c r="D744" s="4" t="inlineStr">
        <is>
          <t>WACC</t>
        </is>
      </c>
      <c r="E744" s="4" t="inlineStr">
        <is>
          <t>2028</t>
        </is>
      </c>
      <c r="F744" s="8" t="inlineStr">
        <is>
          <t>N110</t>
        </is>
      </c>
      <c r="G744" s="4">
        <f>'Assumptions'!N58</f>
        <v/>
      </c>
      <c r="H744" s="4" t="inlineStr">
        <is>
          <t>input link</t>
        </is>
      </c>
    </row>
    <row r="745">
      <c r="B745" s="4" t="inlineStr">
        <is>
          <t>Model</t>
        </is>
      </c>
      <c r="C745" s="8" t="inlineStr">
        <is>
          <t>wacc</t>
        </is>
      </c>
      <c r="D745" s="4" t="inlineStr">
        <is>
          <t>WACC</t>
        </is>
      </c>
      <c r="E745" s="4" t="inlineStr">
        <is>
          <t>2029</t>
        </is>
      </c>
      <c r="F745" s="8" t="inlineStr">
        <is>
          <t>O110</t>
        </is>
      </c>
      <c r="G745" s="4">
        <f>'Assumptions'!O58</f>
        <v/>
      </c>
      <c r="H745" s="4" t="inlineStr">
        <is>
          <t>input link</t>
        </is>
      </c>
    </row>
    <row r="746">
      <c r="B746" s="4" t="inlineStr">
        <is>
          <t>Model</t>
        </is>
      </c>
      <c r="C746" s="8" t="inlineStr">
        <is>
          <t>terminal_growth</t>
        </is>
      </c>
      <c r="D746" s="4" t="inlineStr">
        <is>
          <t>Terminal Growth</t>
        </is>
      </c>
      <c r="E746" s="4" t="inlineStr">
        <is>
          <t>2023</t>
        </is>
      </c>
      <c r="F746" s="8" t="inlineStr">
        <is>
          <t>I111</t>
        </is>
      </c>
      <c r="G746" s="4">
        <f>'Assumptions'!I59</f>
        <v/>
      </c>
      <c r="H746" s="4" t="inlineStr">
        <is>
          <t>input link</t>
        </is>
      </c>
    </row>
    <row r="747">
      <c r="B747" s="4" t="inlineStr">
        <is>
          <t>Model</t>
        </is>
      </c>
      <c r="C747" s="8" t="inlineStr">
        <is>
          <t>terminal_growth</t>
        </is>
      </c>
      <c r="D747" s="4" t="inlineStr">
        <is>
          <t>Terminal Growth</t>
        </is>
      </c>
      <c r="E747" s="4" t="inlineStr">
        <is>
          <t>2024</t>
        </is>
      </c>
      <c r="F747" s="8" t="inlineStr">
        <is>
          <t>J111</t>
        </is>
      </c>
      <c r="G747" s="4">
        <f>'Assumptions'!J59</f>
        <v/>
      </c>
      <c r="H747" s="4" t="inlineStr">
        <is>
          <t>input link</t>
        </is>
      </c>
    </row>
    <row r="748">
      <c r="B748" s="4" t="inlineStr">
        <is>
          <t>Model</t>
        </is>
      </c>
      <c r="C748" s="8" t="inlineStr">
        <is>
          <t>terminal_growth</t>
        </is>
      </c>
      <c r="D748" s="4" t="inlineStr">
        <is>
          <t>Terminal Growth</t>
        </is>
      </c>
      <c r="E748" s="4" t="inlineStr">
        <is>
          <t>2025</t>
        </is>
      </c>
      <c r="F748" s="8" t="inlineStr">
        <is>
          <t>K111</t>
        </is>
      </c>
      <c r="G748" s="4">
        <f>'Assumptions'!K59</f>
        <v/>
      </c>
      <c r="H748" s="4" t="inlineStr">
        <is>
          <t>input link</t>
        </is>
      </c>
    </row>
    <row r="749">
      <c r="B749" s="4" t="inlineStr">
        <is>
          <t>Model</t>
        </is>
      </c>
      <c r="C749" s="8" t="inlineStr">
        <is>
          <t>terminal_growth</t>
        </is>
      </c>
      <c r="D749" s="4" t="inlineStr">
        <is>
          <t>Terminal Growth</t>
        </is>
      </c>
      <c r="E749" s="4" t="inlineStr">
        <is>
          <t>2026</t>
        </is>
      </c>
      <c r="F749" s="8" t="inlineStr">
        <is>
          <t>L111</t>
        </is>
      </c>
      <c r="G749" s="4">
        <f>'Assumptions'!L59</f>
        <v/>
      </c>
      <c r="H749" s="4" t="inlineStr">
        <is>
          <t>input link</t>
        </is>
      </c>
    </row>
    <row r="750">
      <c r="B750" s="4" t="inlineStr">
        <is>
          <t>Model</t>
        </is>
      </c>
      <c r="C750" s="8" t="inlineStr">
        <is>
          <t>terminal_growth</t>
        </is>
      </c>
      <c r="D750" s="4" t="inlineStr">
        <is>
          <t>Terminal Growth</t>
        </is>
      </c>
      <c r="E750" s="4" t="inlineStr">
        <is>
          <t>2027</t>
        </is>
      </c>
      <c r="F750" s="8" t="inlineStr">
        <is>
          <t>M111</t>
        </is>
      </c>
      <c r="G750" s="4">
        <f>'Assumptions'!M59</f>
        <v/>
      </c>
      <c r="H750" s="4" t="inlineStr">
        <is>
          <t>input link</t>
        </is>
      </c>
    </row>
    <row r="751">
      <c r="B751" s="4" t="inlineStr">
        <is>
          <t>Model</t>
        </is>
      </c>
      <c r="C751" s="8" t="inlineStr">
        <is>
          <t>terminal_growth</t>
        </is>
      </c>
      <c r="D751" s="4" t="inlineStr">
        <is>
          <t>Terminal Growth</t>
        </is>
      </c>
      <c r="E751" s="4" t="inlineStr">
        <is>
          <t>2028</t>
        </is>
      </c>
      <c r="F751" s="8" t="inlineStr">
        <is>
          <t>N111</t>
        </is>
      </c>
      <c r="G751" s="4">
        <f>'Assumptions'!N59</f>
        <v/>
      </c>
      <c r="H751" s="4" t="inlineStr">
        <is>
          <t>input link</t>
        </is>
      </c>
    </row>
    <row r="752">
      <c r="B752" s="4" t="inlineStr">
        <is>
          <t>Model</t>
        </is>
      </c>
      <c r="C752" s="8" t="inlineStr">
        <is>
          <t>terminal_growth</t>
        </is>
      </c>
      <c r="D752" s="4" t="inlineStr">
        <is>
          <t>Terminal Growth</t>
        </is>
      </c>
      <c r="E752" s="4" t="inlineStr">
        <is>
          <t>2029</t>
        </is>
      </c>
      <c r="F752" s="8" t="inlineStr">
        <is>
          <t>O111</t>
        </is>
      </c>
      <c r="G752" s="4">
        <f>'Assumptions'!O59</f>
        <v/>
      </c>
      <c r="H752" s="4" t="inlineStr">
        <is>
          <t>input link</t>
        </is>
      </c>
    </row>
    <row r="753">
      <c r="B753" s="4" t="inlineStr">
        <is>
          <t>Model</t>
        </is>
      </c>
      <c r="C753" s="8" t="inlineStr">
        <is>
          <t>discount_factor</t>
        </is>
      </c>
      <c r="D753" s="4" t="inlineStr">
        <is>
          <t>Discount Factor</t>
        </is>
      </c>
      <c r="E753" s="4" t="inlineStr">
        <is>
          <t>2023</t>
        </is>
      </c>
      <c r="F753" s="8" t="inlineStr">
        <is>
          <t>I112</t>
        </is>
      </c>
      <c r="G753" s="4">
        <f>'Assumptions'!I60</f>
        <v/>
      </c>
      <c r="H753" s="4" t="inlineStr">
        <is>
          <t>input link</t>
        </is>
      </c>
    </row>
    <row r="754">
      <c r="B754" s="4" t="inlineStr">
        <is>
          <t>Model</t>
        </is>
      </c>
      <c r="C754" s="8" t="inlineStr">
        <is>
          <t>discount_factor</t>
        </is>
      </c>
      <c r="D754" s="4" t="inlineStr">
        <is>
          <t>Discount Factor</t>
        </is>
      </c>
      <c r="E754" s="4" t="inlineStr">
        <is>
          <t>2024</t>
        </is>
      </c>
      <c r="F754" s="8" t="inlineStr">
        <is>
          <t>J112</t>
        </is>
      </c>
      <c r="G754" s="4">
        <f>'Assumptions'!J60</f>
        <v/>
      </c>
      <c r="H754" s="4" t="inlineStr">
        <is>
          <t>input link</t>
        </is>
      </c>
    </row>
    <row r="755">
      <c r="B755" s="4" t="inlineStr">
        <is>
          <t>Model</t>
        </is>
      </c>
      <c r="C755" s="8" t="inlineStr">
        <is>
          <t>discount_factor</t>
        </is>
      </c>
      <c r="D755" s="4" t="inlineStr">
        <is>
          <t>Discount Factor</t>
        </is>
      </c>
      <c r="E755" s="4" t="inlineStr">
        <is>
          <t>2025</t>
        </is>
      </c>
      <c r="F755" s="8" t="inlineStr">
        <is>
          <t>K112</t>
        </is>
      </c>
      <c r="G755" s="4">
        <f>'Assumptions'!K60</f>
        <v/>
      </c>
      <c r="H755" s="4" t="inlineStr">
        <is>
          <t>input link</t>
        </is>
      </c>
    </row>
    <row r="756">
      <c r="B756" s="4" t="inlineStr">
        <is>
          <t>Model</t>
        </is>
      </c>
      <c r="C756" s="8" t="inlineStr">
        <is>
          <t>discount_factor</t>
        </is>
      </c>
      <c r="D756" s="4" t="inlineStr">
        <is>
          <t>Discount Factor</t>
        </is>
      </c>
      <c r="E756" s="4" t="inlineStr">
        <is>
          <t>2026</t>
        </is>
      </c>
      <c r="F756" s="8" t="inlineStr">
        <is>
          <t>L112</t>
        </is>
      </c>
      <c r="G756" s="4">
        <f>'Assumptions'!L60</f>
        <v/>
      </c>
      <c r="H756" s="4" t="inlineStr">
        <is>
          <t>input link</t>
        </is>
      </c>
    </row>
    <row r="757">
      <c r="B757" s="4" t="inlineStr">
        <is>
          <t>Model</t>
        </is>
      </c>
      <c r="C757" s="8" t="inlineStr">
        <is>
          <t>discount_factor</t>
        </is>
      </c>
      <c r="D757" s="4" t="inlineStr">
        <is>
          <t>Discount Factor</t>
        </is>
      </c>
      <c r="E757" s="4" t="inlineStr">
        <is>
          <t>2027</t>
        </is>
      </c>
      <c r="F757" s="8" t="inlineStr">
        <is>
          <t>M112</t>
        </is>
      </c>
      <c r="G757" s="4">
        <f>'Assumptions'!M60</f>
        <v/>
      </c>
      <c r="H757" s="4" t="inlineStr">
        <is>
          <t>input link</t>
        </is>
      </c>
    </row>
    <row r="758">
      <c r="B758" s="4" t="inlineStr">
        <is>
          <t>Model</t>
        </is>
      </c>
      <c r="C758" s="8" t="inlineStr">
        <is>
          <t>discount_factor</t>
        </is>
      </c>
      <c r="D758" s="4" t="inlineStr">
        <is>
          <t>Discount Factor</t>
        </is>
      </c>
      <c r="E758" s="4" t="inlineStr">
        <is>
          <t>2028</t>
        </is>
      </c>
      <c r="F758" s="8" t="inlineStr">
        <is>
          <t>N112</t>
        </is>
      </c>
      <c r="G758" s="4">
        <f>'Assumptions'!N60</f>
        <v/>
      </c>
      <c r="H758" s="4" t="inlineStr">
        <is>
          <t>input link</t>
        </is>
      </c>
    </row>
    <row r="759">
      <c r="B759" s="4" t="inlineStr">
        <is>
          <t>Model</t>
        </is>
      </c>
      <c r="C759" s="8" t="inlineStr">
        <is>
          <t>discount_factor</t>
        </is>
      </c>
      <c r="D759" s="4" t="inlineStr">
        <is>
          <t>Discount Factor</t>
        </is>
      </c>
      <c r="E759" s="4" t="inlineStr">
        <is>
          <t>2029</t>
        </is>
      </c>
      <c r="F759" s="8" t="inlineStr">
        <is>
          <t>O112</t>
        </is>
      </c>
      <c r="G759" s="4">
        <f>'Assumptions'!O60</f>
        <v/>
      </c>
      <c r="H759" s="4" t="inlineStr">
        <is>
          <t>input link</t>
        </is>
      </c>
    </row>
    <row r="760">
      <c r="B760" s="4" t="inlineStr">
        <is>
          <t>Model</t>
        </is>
      </c>
      <c r="C760" s="8" t="inlineStr">
        <is>
          <t>pv_fcff</t>
        </is>
      </c>
      <c r="D760" s="4" t="inlineStr">
        <is>
          <t>PV of FCFF</t>
        </is>
      </c>
      <c r="E760" s="4" t="inlineStr">
        <is>
          <t>2023</t>
        </is>
      </c>
      <c r="F760" s="8" t="inlineStr">
        <is>
          <t>I113</t>
        </is>
      </c>
      <c r="G760" s="4">
        <f>(I101*I112)</f>
        <v/>
      </c>
      <c r="H760" s="4" t="inlineStr">
        <is>
          <t>calculation</t>
        </is>
      </c>
    </row>
    <row r="761">
      <c r="B761" s="4" t="inlineStr">
        <is>
          <t>Model</t>
        </is>
      </c>
      <c r="C761" s="8" t="inlineStr">
        <is>
          <t>pv_fcff</t>
        </is>
      </c>
      <c r="D761" s="4" t="inlineStr">
        <is>
          <t>PV of FCFF</t>
        </is>
      </c>
      <c r="E761" s="4" t="inlineStr">
        <is>
          <t>2024</t>
        </is>
      </c>
      <c r="F761" s="8" t="inlineStr">
        <is>
          <t>J113</t>
        </is>
      </c>
      <c r="G761" s="4">
        <f>(J101*J112)</f>
        <v/>
      </c>
      <c r="H761" s="4" t="inlineStr">
        <is>
          <t>calculation</t>
        </is>
      </c>
    </row>
    <row r="762">
      <c r="B762" s="4" t="inlineStr">
        <is>
          <t>Model</t>
        </is>
      </c>
      <c r="C762" s="8" t="inlineStr">
        <is>
          <t>pv_fcff</t>
        </is>
      </c>
      <c r="D762" s="4" t="inlineStr">
        <is>
          <t>PV of FCFF</t>
        </is>
      </c>
      <c r="E762" s="4" t="inlineStr">
        <is>
          <t>2025</t>
        </is>
      </c>
      <c r="F762" s="8" t="inlineStr">
        <is>
          <t>K113</t>
        </is>
      </c>
      <c r="G762" s="4">
        <f>(K101*K112)</f>
        <v/>
      </c>
      <c r="H762" s="4" t="inlineStr">
        <is>
          <t>calculation</t>
        </is>
      </c>
    </row>
    <row r="763">
      <c r="B763" s="4" t="inlineStr">
        <is>
          <t>Model</t>
        </is>
      </c>
      <c r="C763" s="8" t="inlineStr">
        <is>
          <t>pv_fcff</t>
        </is>
      </c>
      <c r="D763" s="4" t="inlineStr">
        <is>
          <t>PV of FCFF</t>
        </is>
      </c>
      <c r="E763" s="4" t="inlineStr">
        <is>
          <t>2026</t>
        </is>
      </c>
      <c r="F763" s="8" t="inlineStr">
        <is>
          <t>L113</t>
        </is>
      </c>
      <c r="G763" s="4">
        <f>(L101*L112)</f>
        <v/>
      </c>
      <c r="H763" s="4" t="inlineStr">
        <is>
          <t>calculation</t>
        </is>
      </c>
    </row>
    <row r="764">
      <c r="B764" s="4" t="inlineStr">
        <is>
          <t>Model</t>
        </is>
      </c>
      <c r="C764" s="8" t="inlineStr">
        <is>
          <t>pv_fcff</t>
        </is>
      </c>
      <c r="D764" s="4" t="inlineStr">
        <is>
          <t>PV of FCFF</t>
        </is>
      </c>
      <c r="E764" s="4" t="inlineStr">
        <is>
          <t>2027</t>
        </is>
      </c>
      <c r="F764" s="8" t="inlineStr">
        <is>
          <t>M113</t>
        </is>
      </c>
      <c r="G764" s="4">
        <f>(M101*M112)</f>
        <v/>
      </c>
      <c r="H764" s="4" t="inlineStr">
        <is>
          <t>calculation</t>
        </is>
      </c>
    </row>
    <row r="765">
      <c r="B765" s="4" t="inlineStr">
        <is>
          <t>Model</t>
        </is>
      </c>
      <c r="C765" s="8" t="inlineStr">
        <is>
          <t>pv_fcff</t>
        </is>
      </c>
      <c r="D765" s="4" t="inlineStr">
        <is>
          <t>PV of FCFF</t>
        </is>
      </c>
      <c r="E765" s="4" t="inlineStr">
        <is>
          <t>2028</t>
        </is>
      </c>
      <c r="F765" s="8" t="inlineStr">
        <is>
          <t>N113</t>
        </is>
      </c>
      <c r="G765" s="4">
        <f>(N101*N112)</f>
        <v/>
      </c>
      <c r="H765" s="4" t="inlineStr">
        <is>
          <t>calculation</t>
        </is>
      </c>
    </row>
    <row r="766">
      <c r="B766" s="4" t="inlineStr">
        <is>
          <t>Model</t>
        </is>
      </c>
      <c r="C766" s="8" t="inlineStr">
        <is>
          <t>pv_fcff</t>
        </is>
      </c>
      <c r="D766" s="4" t="inlineStr">
        <is>
          <t>PV of FCFF</t>
        </is>
      </c>
      <c r="E766" s="4" t="inlineStr">
        <is>
          <t>2029</t>
        </is>
      </c>
      <c r="F766" s="8" t="inlineStr">
        <is>
          <t>O113</t>
        </is>
      </c>
      <c r="G766" s="4">
        <f>(O101*O112)</f>
        <v/>
      </c>
      <c r="H766" s="4" t="inlineStr">
        <is>
          <t>calculation</t>
        </is>
      </c>
    </row>
    <row r="767">
      <c r="B767" s="4" t="inlineStr">
        <is>
          <t>Model</t>
        </is>
      </c>
      <c r="C767" s="8" t="inlineStr">
        <is>
          <t>terminal_value</t>
        </is>
      </c>
      <c r="D767" s="4" t="inlineStr">
        <is>
          <t>Terminal Value</t>
        </is>
      </c>
      <c r="E767" s="4" t="inlineStr">
        <is>
          <t>2023</t>
        </is>
      </c>
      <c r="F767" s="8" t="inlineStr">
        <is>
          <t>I114</t>
        </is>
      </c>
      <c r="G767" s="4">
        <f>((I101*(1.0+I111))/(I110-I111))</f>
        <v/>
      </c>
      <c r="H767" s="4" t="inlineStr">
        <is>
          <t>calculation</t>
        </is>
      </c>
    </row>
    <row r="768">
      <c r="B768" s="4" t="inlineStr">
        <is>
          <t>Model</t>
        </is>
      </c>
      <c r="C768" s="8" t="inlineStr">
        <is>
          <t>terminal_value</t>
        </is>
      </c>
      <c r="D768" s="4" t="inlineStr">
        <is>
          <t>Terminal Value</t>
        </is>
      </c>
      <c r="E768" s="4" t="inlineStr">
        <is>
          <t>2024</t>
        </is>
      </c>
      <c r="F768" s="8" t="inlineStr">
        <is>
          <t>J114</t>
        </is>
      </c>
      <c r="G768" s="4">
        <f>((J101*(1.0+J111))/(J110-J111))</f>
        <v/>
      </c>
      <c r="H768" s="4" t="inlineStr">
        <is>
          <t>calculation</t>
        </is>
      </c>
    </row>
    <row r="769">
      <c r="B769" s="4" t="inlineStr">
        <is>
          <t>Model</t>
        </is>
      </c>
      <c r="C769" s="8" t="inlineStr">
        <is>
          <t>terminal_value</t>
        </is>
      </c>
      <c r="D769" s="4" t="inlineStr">
        <is>
          <t>Terminal Value</t>
        </is>
      </c>
      <c r="E769" s="4" t="inlineStr">
        <is>
          <t>2025</t>
        </is>
      </c>
      <c r="F769" s="8" t="inlineStr">
        <is>
          <t>K114</t>
        </is>
      </c>
      <c r="G769" s="4">
        <f>((K101*(1.0+K111))/(K110-K111))</f>
        <v/>
      </c>
      <c r="H769" s="4" t="inlineStr">
        <is>
          <t>calculation</t>
        </is>
      </c>
    </row>
    <row r="770">
      <c r="B770" s="4" t="inlineStr">
        <is>
          <t>Model</t>
        </is>
      </c>
      <c r="C770" s="8" t="inlineStr">
        <is>
          <t>terminal_value</t>
        </is>
      </c>
      <c r="D770" s="4" t="inlineStr">
        <is>
          <t>Terminal Value</t>
        </is>
      </c>
      <c r="E770" s="4" t="inlineStr">
        <is>
          <t>2026</t>
        </is>
      </c>
      <c r="F770" s="8" t="inlineStr">
        <is>
          <t>L114</t>
        </is>
      </c>
      <c r="G770" s="4">
        <f>((L101*(1.0+L111))/(L110-L111))</f>
        <v/>
      </c>
      <c r="H770" s="4" t="inlineStr">
        <is>
          <t>calculation</t>
        </is>
      </c>
    </row>
    <row r="771">
      <c r="B771" s="4" t="inlineStr">
        <is>
          <t>Model</t>
        </is>
      </c>
      <c r="C771" s="8" t="inlineStr">
        <is>
          <t>terminal_value</t>
        </is>
      </c>
      <c r="D771" s="4" t="inlineStr">
        <is>
          <t>Terminal Value</t>
        </is>
      </c>
      <c r="E771" s="4" t="inlineStr">
        <is>
          <t>2027</t>
        </is>
      </c>
      <c r="F771" s="8" t="inlineStr">
        <is>
          <t>M114</t>
        </is>
      </c>
      <c r="G771" s="4">
        <f>((M101*(1.0+M111))/(M110-M111))</f>
        <v/>
      </c>
      <c r="H771" s="4" t="inlineStr">
        <is>
          <t>calculation</t>
        </is>
      </c>
    </row>
    <row r="772">
      <c r="B772" s="4" t="inlineStr">
        <is>
          <t>Model</t>
        </is>
      </c>
      <c r="C772" s="8" t="inlineStr">
        <is>
          <t>terminal_value</t>
        </is>
      </c>
      <c r="D772" s="4" t="inlineStr">
        <is>
          <t>Terminal Value</t>
        </is>
      </c>
      <c r="E772" s="4" t="inlineStr">
        <is>
          <t>2028</t>
        </is>
      </c>
      <c r="F772" s="8" t="inlineStr">
        <is>
          <t>N114</t>
        </is>
      </c>
      <c r="G772" s="4">
        <f>((N101*(1.0+N111))/(N110-N111))</f>
        <v/>
      </c>
      <c r="H772" s="4" t="inlineStr">
        <is>
          <t>calculation</t>
        </is>
      </c>
    </row>
    <row r="773">
      <c r="B773" s="4" t="inlineStr">
        <is>
          <t>Model</t>
        </is>
      </c>
      <c r="C773" s="8" t="inlineStr">
        <is>
          <t>terminal_value</t>
        </is>
      </c>
      <c r="D773" s="4" t="inlineStr">
        <is>
          <t>Terminal Value</t>
        </is>
      </c>
      <c r="E773" s="4" t="inlineStr">
        <is>
          <t>2029</t>
        </is>
      </c>
      <c r="F773" s="8" t="inlineStr">
        <is>
          <t>O114</t>
        </is>
      </c>
      <c r="G773" s="4">
        <f>((O101*(1.0+O111))/(O110-O111))</f>
        <v/>
      </c>
      <c r="H773" s="4" t="inlineStr">
        <is>
          <t>calculation</t>
        </is>
      </c>
    </row>
    <row r="774">
      <c r="B774" s="4" t="inlineStr">
        <is>
          <t>Model</t>
        </is>
      </c>
      <c r="C774" s="8" t="inlineStr">
        <is>
          <t>pv_terminal_value</t>
        </is>
      </c>
      <c r="D774" s="4" t="inlineStr">
        <is>
          <t>PV of Terminal Value</t>
        </is>
      </c>
      <c r="E774" s="4" t="inlineStr">
        <is>
          <t>2023</t>
        </is>
      </c>
      <c r="F774" s="8" t="inlineStr">
        <is>
          <t>I115</t>
        </is>
      </c>
      <c r="G774" s="4">
        <f>(I114*I112)</f>
        <v/>
      </c>
      <c r="H774" s="4" t="inlineStr">
        <is>
          <t>calculation</t>
        </is>
      </c>
    </row>
    <row r="775">
      <c r="B775" s="4" t="inlineStr">
        <is>
          <t>Model</t>
        </is>
      </c>
      <c r="C775" s="8" t="inlineStr">
        <is>
          <t>pv_terminal_value</t>
        </is>
      </c>
      <c r="D775" s="4" t="inlineStr">
        <is>
          <t>PV of Terminal Value</t>
        </is>
      </c>
      <c r="E775" s="4" t="inlineStr">
        <is>
          <t>2024</t>
        </is>
      </c>
      <c r="F775" s="8" t="inlineStr">
        <is>
          <t>J115</t>
        </is>
      </c>
      <c r="G775" s="4">
        <f>(J114*J112)</f>
        <v/>
      </c>
      <c r="H775" s="4" t="inlineStr">
        <is>
          <t>calculation</t>
        </is>
      </c>
    </row>
    <row r="776">
      <c r="B776" s="4" t="inlineStr">
        <is>
          <t>Model</t>
        </is>
      </c>
      <c r="C776" s="8" t="inlineStr">
        <is>
          <t>pv_terminal_value</t>
        </is>
      </c>
      <c r="D776" s="4" t="inlineStr">
        <is>
          <t>PV of Terminal Value</t>
        </is>
      </c>
      <c r="E776" s="4" t="inlineStr">
        <is>
          <t>2025</t>
        </is>
      </c>
      <c r="F776" s="8" t="inlineStr">
        <is>
          <t>K115</t>
        </is>
      </c>
      <c r="G776" s="4">
        <f>(K114*K112)</f>
        <v/>
      </c>
      <c r="H776" s="4" t="inlineStr">
        <is>
          <t>calculation</t>
        </is>
      </c>
    </row>
    <row r="777">
      <c r="B777" s="4" t="inlineStr">
        <is>
          <t>Model</t>
        </is>
      </c>
      <c r="C777" s="8" t="inlineStr">
        <is>
          <t>pv_terminal_value</t>
        </is>
      </c>
      <c r="D777" s="4" t="inlineStr">
        <is>
          <t>PV of Terminal Value</t>
        </is>
      </c>
      <c r="E777" s="4" t="inlineStr">
        <is>
          <t>2026</t>
        </is>
      </c>
      <c r="F777" s="8" t="inlineStr">
        <is>
          <t>L115</t>
        </is>
      </c>
      <c r="G777" s="4">
        <f>(L114*L112)</f>
        <v/>
      </c>
      <c r="H777" s="4" t="inlineStr">
        <is>
          <t>calculation</t>
        </is>
      </c>
    </row>
    <row r="778">
      <c r="B778" s="4" t="inlineStr">
        <is>
          <t>Model</t>
        </is>
      </c>
      <c r="C778" s="8" t="inlineStr">
        <is>
          <t>pv_terminal_value</t>
        </is>
      </c>
      <c r="D778" s="4" t="inlineStr">
        <is>
          <t>PV of Terminal Value</t>
        </is>
      </c>
      <c r="E778" s="4" t="inlineStr">
        <is>
          <t>2027</t>
        </is>
      </c>
      <c r="F778" s="8" t="inlineStr">
        <is>
          <t>M115</t>
        </is>
      </c>
      <c r="G778" s="4">
        <f>(M114*M112)</f>
        <v/>
      </c>
      <c r="H778" s="4" t="inlineStr">
        <is>
          <t>calculation</t>
        </is>
      </c>
    </row>
    <row r="779">
      <c r="B779" s="4" t="inlineStr">
        <is>
          <t>Model</t>
        </is>
      </c>
      <c r="C779" s="8" t="inlineStr">
        <is>
          <t>pv_terminal_value</t>
        </is>
      </c>
      <c r="D779" s="4" t="inlineStr">
        <is>
          <t>PV of Terminal Value</t>
        </is>
      </c>
      <c r="E779" s="4" t="inlineStr">
        <is>
          <t>2028</t>
        </is>
      </c>
      <c r="F779" s="8" t="inlineStr">
        <is>
          <t>N115</t>
        </is>
      </c>
      <c r="G779" s="4">
        <f>(N114*N112)</f>
        <v/>
      </c>
      <c r="H779" s="4" t="inlineStr">
        <is>
          <t>calculation</t>
        </is>
      </c>
    </row>
    <row r="780">
      <c r="B780" s="4" t="inlineStr">
        <is>
          <t>Model</t>
        </is>
      </c>
      <c r="C780" s="8" t="inlineStr">
        <is>
          <t>pv_terminal_value</t>
        </is>
      </c>
      <c r="D780" s="4" t="inlineStr">
        <is>
          <t>PV of Terminal Value</t>
        </is>
      </c>
      <c r="E780" s="4" t="inlineStr">
        <is>
          <t>2029</t>
        </is>
      </c>
      <c r="F780" s="8" t="inlineStr">
        <is>
          <t>O115</t>
        </is>
      </c>
      <c r="G780" s="4">
        <f>(O114*O112)</f>
        <v/>
      </c>
      <c r="H780" s="4" t="inlineStr">
        <is>
          <t>calculation</t>
        </is>
      </c>
    </row>
    <row r="781">
      <c r="B781" s="4" t="inlineStr">
        <is>
          <t>Model</t>
        </is>
      </c>
      <c r="C781" s="8" t="inlineStr">
        <is>
          <t>enterprise_value</t>
        </is>
      </c>
      <c r="D781" s="4" t="inlineStr">
        <is>
          <t>Enterprise Value</t>
        </is>
      </c>
      <c r="E781" s="4" t="inlineStr">
        <is>
          <t>2023</t>
        </is>
      </c>
      <c r="F781" s="8" t="inlineStr">
        <is>
          <t>I116</t>
        </is>
      </c>
      <c r="G781" s="4">
        <f>(I113+I115)</f>
        <v/>
      </c>
      <c r="H781" s="4" t="inlineStr">
        <is>
          <t>calculation</t>
        </is>
      </c>
    </row>
    <row r="782">
      <c r="B782" s="4" t="inlineStr">
        <is>
          <t>Model</t>
        </is>
      </c>
      <c r="C782" s="8" t="inlineStr">
        <is>
          <t>enterprise_value</t>
        </is>
      </c>
      <c r="D782" s="4" t="inlineStr">
        <is>
          <t>Enterprise Value</t>
        </is>
      </c>
      <c r="E782" s="4" t="inlineStr">
        <is>
          <t>2024</t>
        </is>
      </c>
      <c r="F782" s="8" t="inlineStr">
        <is>
          <t>J116</t>
        </is>
      </c>
      <c r="G782" s="4">
        <f>(J113+J115)</f>
        <v/>
      </c>
      <c r="H782" s="4" t="inlineStr">
        <is>
          <t>calculation</t>
        </is>
      </c>
    </row>
    <row r="783">
      <c r="B783" s="4" t="inlineStr">
        <is>
          <t>Model</t>
        </is>
      </c>
      <c r="C783" s="8" t="inlineStr">
        <is>
          <t>enterprise_value</t>
        </is>
      </c>
      <c r="D783" s="4" t="inlineStr">
        <is>
          <t>Enterprise Value</t>
        </is>
      </c>
      <c r="E783" s="4" t="inlineStr">
        <is>
          <t>2025</t>
        </is>
      </c>
      <c r="F783" s="8" t="inlineStr">
        <is>
          <t>K116</t>
        </is>
      </c>
      <c r="G783" s="4">
        <f>(K113+K115)</f>
        <v/>
      </c>
      <c r="H783" s="4" t="inlineStr">
        <is>
          <t>calculation</t>
        </is>
      </c>
    </row>
    <row r="784">
      <c r="B784" s="4" t="inlineStr">
        <is>
          <t>Model</t>
        </is>
      </c>
      <c r="C784" s="8" t="inlineStr">
        <is>
          <t>enterprise_value</t>
        </is>
      </c>
      <c r="D784" s="4" t="inlineStr">
        <is>
          <t>Enterprise Value</t>
        </is>
      </c>
      <c r="E784" s="4" t="inlineStr">
        <is>
          <t>2026</t>
        </is>
      </c>
      <c r="F784" s="8" t="inlineStr">
        <is>
          <t>L116</t>
        </is>
      </c>
      <c r="G784" s="4">
        <f>(L113+L115)</f>
        <v/>
      </c>
      <c r="H784" s="4" t="inlineStr">
        <is>
          <t>calculation</t>
        </is>
      </c>
    </row>
    <row r="785">
      <c r="B785" s="4" t="inlineStr">
        <is>
          <t>Model</t>
        </is>
      </c>
      <c r="C785" s="8" t="inlineStr">
        <is>
          <t>enterprise_value</t>
        </is>
      </c>
      <c r="D785" s="4" t="inlineStr">
        <is>
          <t>Enterprise Value</t>
        </is>
      </c>
      <c r="E785" s="4" t="inlineStr">
        <is>
          <t>2027</t>
        </is>
      </c>
      <c r="F785" s="8" t="inlineStr">
        <is>
          <t>M116</t>
        </is>
      </c>
      <c r="G785" s="4">
        <f>(M113+M115)</f>
        <v/>
      </c>
      <c r="H785" s="4" t="inlineStr">
        <is>
          <t>calculation</t>
        </is>
      </c>
    </row>
    <row r="786">
      <c r="B786" s="4" t="inlineStr">
        <is>
          <t>Model</t>
        </is>
      </c>
      <c r="C786" s="8" t="inlineStr">
        <is>
          <t>enterprise_value</t>
        </is>
      </c>
      <c r="D786" s="4" t="inlineStr">
        <is>
          <t>Enterprise Value</t>
        </is>
      </c>
      <c r="E786" s="4" t="inlineStr">
        <is>
          <t>2028</t>
        </is>
      </c>
      <c r="F786" s="8" t="inlineStr">
        <is>
          <t>N116</t>
        </is>
      </c>
      <c r="G786" s="4">
        <f>(N113+N115)</f>
        <v/>
      </c>
      <c r="H786" s="4" t="inlineStr">
        <is>
          <t>calculation</t>
        </is>
      </c>
    </row>
    <row r="787">
      <c r="B787" s="4" t="inlineStr">
        <is>
          <t>Model</t>
        </is>
      </c>
      <c r="C787" s="8" t="inlineStr">
        <is>
          <t>enterprise_value</t>
        </is>
      </c>
      <c r="D787" s="4" t="inlineStr">
        <is>
          <t>Enterprise Value</t>
        </is>
      </c>
      <c r="E787" s="4" t="inlineStr">
        <is>
          <t>2029</t>
        </is>
      </c>
      <c r="F787" s="8" t="inlineStr">
        <is>
          <t>O116</t>
        </is>
      </c>
      <c r="G787" s="4">
        <f>(O113+O115)</f>
        <v/>
      </c>
      <c r="H787" s="4" t="inlineStr">
        <is>
          <t>calculation</t>
        </is>
      </c>
    </row>
    <row r="788">
      <c r="B788" s="4" t="inlineStr">
        <is>
          <t>Model</t>
        </is>
      </c>
      <c r="C788" s="8" t="inlineStr">
        <is>
          <t>net_debt</t>
        </is>
      </c>
      <c r="D788" s="4" t="inlineStr">
        <is>
          <t>순차입금 / 조정</t>
        </is>
      </c>
      <c r="E788" s="4" t="inlineStr">
        <is>
          <t>2023</t>
        </is>
      </c>
      <c r="F788" s="8" t="inlineStr">
        <is>
          <t>I117</t>
        </is>
      </c>
      <c r="G788" s="4">
        <f>'Assumptions'!I61</f>
        <v/>
      </c>
      <c r="H788" s="4" t="inlineStr">
        <is>
          <t>input link</t>
        </is>
      </c>
    </row>
    <row r="789">
      <c r="B789" s="4" t="inlineStr">
        <is>
          <t>Model</t>
        </is>
      </c>
      <c r="C789" s="8" t="inlineStr">
        <is>
          <t>net_debt</t>
        </is>
      </c>
      <c r="D789" s="4" t="inlineStr">
        <is>
          <t>순차입금 / 조정</t>
        </is>
      </c>
      <c r="E789" s="4" t="inlineStr">
        <is>
          <t>2024</t>
        </is>
      </c>
      <c r="F789" s="8" t="inlineStr">
        <is>
          <t>J117</t>
        </is>
      </c>
      <c r="G789" s="4">
        <f>'Assumptions'!J61</f>
        <v/>
      </c>
      <c r="H789" s="4" t="inlineStr">
        <is>
          <t>input link</t>
        </is>
      </c>
    </row>
    <row r="790">
      <c r="B790" s="4" t="inlineStr">
        <is>
          <t>Model</t>
        </is>
      </c>
      <c r="C790" s="8" t="inlineStr">
        <is>
          <t>net_debt</t>
        </is>
      </c>
      <c r="D790" s="4" t="inlineStr">
        <is>
          <t>순차입금 / 조정</t>
        </is>
      </c>
      <c r="E790" s="4" t="inlineStr">
        <is>
          <t>2025</t>
        </is>
      </c>
      <c r="F790" s="8" t="inlineStr">
        <is>
          <t>K117</t>
        </is>
      </c>
      <c r="G790" s="4">
        <f>'Assumptions'!K61</f>
        <v/>
      </c>
      <c r="H790" s="4" t="inlineStr">
        <is>
          <t>input link</t>
        </is>
      </c>
    </row>
    <row r="791">
      <c r="B791" s="4" t="inlineStr">
        <is>
          <t>Model</t>
        </is>
      </c>
      <c r="C791" s="8" t="inlineStr">
        <is>
          <t>net_debt</t>
        </is>
      </c>
      <c r="D791" s="4" t="inlineStr">
        <is>
          <t>순차입금 / 조정</t>
        </is>
      </c>
      <c r="E791" s="4" t="inlineStr">
        <is>
          <t>2026</t>
        </is>
      </c>
      <c r="F791" s="8" t="inlineStr">
        <is>
          <t>L117</t>
        </is>
      </c>
      <c r="G791" s="4">
        <f>'Assumptions'!L61</f>
        <v/>
      </c>
      <c r="H791" s="4" t="inlineStr">
        <is>
          <t>input link</t>
        </is>
      </c>
    </row>
    <row r="792">
      <c r="B792" s="4" t="inlineStr">
        <is>
          <t>Model</t>
        </is>
      </c>
      <c r="C792" s="8" t="inlineStr">
        <is>
          <t>net_debt</t>
        </is>
      </c>
      <c r="D792" s="4" t="inlineStr">
        <is>
          <t>순차입금 / 조정</t>
        </is>
      </c>
      <c r="E792" s="4" t="inlineStr">
        <is>
          <t>2027</t>
        </is>
      </c>
      <c r="F792" s="8" t="inlineStr">
        <is>
          <t>M117</t>
        </is>
      </c>
      <c r="G792" s="4">
        <f>'Assumptions'!M61</f>
        <v/>
      </c>
      <c r="H792" s="4" t="inlineStr">
        <is>
          <t>input link</t>
        </is>
      </c>
    </row>
    <row r="793">
      <c r="B793" s="4" t="inlineStr">
        <is>
          <t>Model</t>
        </is>
      </c>
      <c r="C793" s="8" t="inlineStr">
        <is>
          <t>net_debt</t>
        </is>
      </c>
      <c r="D793" s="4" t="inlineStr">
        <is>
          <t>순차입금 / 조정</t>
        </is>
      </c>
      <c r="E793" s="4" t="inlineStr">
        <is>
          <t>2028</t>
        </is>
      </c>
      <c r="F793" s="8" t="inlineStr">
        <is>
          <t>N117</t>
        </is>
      </c>
      <c r="G793" s="4">
        <f>'Assumptions'!N61</f>
        <v/>
      </c>
      <c r="H793" s="4" t="inlineStr">
        <is>
          <t>input link</t>
        </is>
      </c>
    </row>
    <row r="794">
      <c r="B794" s="4" t="inlineStr">
        <is>
          <t>Model</t>
        </is>
      </c>
      <c r="C794" s="8" t="inlineStr">
        <is>
          <t>net_debt</t>
        </is>
      </c>
      <c r="D794" s="4" t="inlineStr">
        <is>
          <t>순차입금 / 조정</t>
        </is>
      </c>
      <c r="E794" s="4" t="inlineStr">
        <is>
          <t>2029</t>
        </is>
      </c>
      <c r="F794" s="8" t="inlineStr">
        <is>
          <t>O117</t>
        </is>
      </c>
      <c r="G794" s="4">
        <f>'Assumptions'!O61</f>
        <v/>
      </c>
      <c r="H794" s="4" t="inlineStr">
        <is>
          <t>input link</t>
        </is>
      </c>
    </row>
    <row r="795">
      <c r="B795" s="4" t="inlineStr">
        <is>
          <t>Model</t>
        </is>
      </c>
      <c r="C795" s="8" t="inlineStr">
        <is>
          <t>equity_value</t>
        </is>
      </c>
      <c r="D795" s="4" t="inlineStr">
        <is>
          <t>Equity Value</t>
        </is>
      </c>
      <c r="E795" s="4" t="inlineStr">
        <is>
          <t>2023</t>
        </is>
      </c>
      <c r="F795" s="8" t="inlineStr">
        <is>
          <t>I118</t>
        </is>
      </c>
      <c r="G795" s="4">
        <f>(I116-I117)</f>
        <v/>
      </c>
      <c r="H795" s="4" t="inlineStr">
        <is>
          <t>calculation</t>
        </is>
      </c>
    </row>
    <row r="796">
      <c r="B796" s="4" t="inlineStr">
        <is>
          <t>Model</t>
        </is>
      </c>
      <c r="C796" s="8" t="inlineStr">
        <is>
          <t>equity_value</t>
        </is>
      </c>
      <c r="D796" s="4" t="inlineStr">
        <is>
          <t>Equity Value</t>
        </is>
      </c>
      <c r="E796" s="4" t="inlineStr">
        <is>
          <t>2024</t>
        </is>
      </c>
      <c r="F796" s="8" t="inlineStr">
        <is>
          <t>J118</t>
        </is>
      </c>
      <c r="G796" s="4">
        <f>(J116-J117)</f>
        <v/>
      </c>
      <c r="H796" s="4" t="inlineStr">
        <is>
          <t>calculation</t>
        </is>
      </c>
    </row>
    <row r="797">
      <c r="B797" s="4" t="inlineStr">
        <is>
          <t>Model</t>
        </is>
      </c>
      <c r="C797" s="8" t="inlineStr">
        <is>
          <t>equity_value</t>
        </is>
      </c>
      <c r="D797" s="4" t="inlineStr">
        <is>
          <t>Equity Value</t>
        </is>
      </c>
      <c r="E797" s="4" t="inlineStr">
        <is>
          <t>2025</t>
        </is>
      </c>
      <c r="F797" s="8" t="inlineStr">
        <is>
          <t>K118</t>
        </is>
      </c>
      <c r="G797" s="4">
        <f>(K116-K117)</f>
        <v/>
      </c>
      <c r="H797" s="4" t="inlineStr">
        <is>
          <t>calculation</t>
        </is>
      </c>
    </row>
    <row r="798">
      <c r="B798" s="4" t="inlineStr">
        <is>
          <t>Model</t>
        </is>
      </c>
      <c r="C798" s="8" t="inlineStr">
        <is>
          <t>equity_value</t>
        </is>
      </c>
      <c r="D798" s="4" t="inlineStr">
        <is>
          <t>Equity Value</t>
        </is>
      </c>
      <c r="E798" s="4" t="inlineStr">
        <is>
          <t>2026</t>
        </is>
      </c>
      <c r="F798" s="8" t="inlineStr">
        <is>
          <t>L118</t>
        </is>
      </c>
      <c r="G798" s="4">
        <f>(L116-L117)</f>
        <v/>
      </c>
      <c r="H798" s="4" t="inlineStr">
        <is>
          <t>calculation</t>
        </is>
      </c>
    </row>
    <row r="799">
      <c r="B799" s="4" t="inlineStr">
        <is>
          <t>Model</t>
        </is>
      </c>
      <c r="C799" s="8" t="inlineStr">
        <is>
          <t>equity_value</t>
        </is>
      </c>
      <c r="D799" s="4" t="inlineStr">
        <is>
          <t>Equity Value</t>
        </is>
      </c>
      <c r="E799" s="4" t="inlineStr">
        <is>
          <t>2027</t>
        </is>
      </c>
      <c r="F799" s="8" t="inlineStr">
        <is>
          <t>M118</t>
        </is>
      </c>
      <c r="G799" s="4">
        <f>(M116-M117)</f>
        <v/>
      </c>
      <c r="H799" s="4" t="inlineStr">
        <is>
          <t>calculation</t>
        </is>
      </c>
    </row>
    <row r="800">
      <c r="B800" s="4" t="inlineStr">
        <is>
          <t>Model</t>
        </is>
      </c>
      <c r="C800" s="8" t="inlineStr">
        <is>
          <t>equity_value</t>
        </is>
      </c>
      <c r="D800" s="4" t="inlineStr">
        <is>
          <t>Equity Value</t>
        </is>
      </c>
      <c r="E800" s="4" t="inlineStr">
        <is>
          <t>2028</t>
        </is>
      </c>
      <c r="F800" s="8" t="inlineStr">
        <is>
          <t>N118</t>
        </is>
      </c>
      <c r="G800" s="4">
        <f>(N116-N117)</f>
        <v/>
      </c>
      <c r="H800" s="4" t="inlineStr">
        <is>
          <t>calculation</t>
        </is>
      </c>
    </row>
    <row r="801">
      <c r="B801" s="4" t="inlineStr">
        <is>
          <t>Model</t>
        </is>
      </c>
      <c r="C801" s="8" t="inlineStr">
        <is>
          <t>equity_value</t>
        </is>
      </c>
      <c r="D801" s="4" t="inlineStr">
        <is>
          <t>Equity Value</t>
        </is>
      </c>
      <c r="E801" s="4" t="inlineStr">
        <is>
          <t>2029</t>
        </is>
      </c>
      <c r="F801" s="8" t="inlineStr">
        <is>
          <t>O118</t>
        </is>
      </c>
      <c r="G801" s="4">
        <f>(O116-O117)</f>
        <v/>
      </c>
      <c r="H801" s="4" t="inlineStr">
        <is>
          <t>calculation</t>
        </is>
      </c>
    </row>
    <row r="802">
      <c r="B802" s="4" t="inlineStr">
        <is>
          <t>Model</t>
        </is>
      </c>
      <c r="C802" s="8" t="inlineStr">
        <is>
          <t>shares_outstanding</t>
        </is>
      </c>
      <c r="D802" s="4" t="inlineStr">
        <is>
          <t>주식수</t>
        </is>
      </c>
      <c r="E802" s="4" t="inlineStr">
        <is>
          <t>2023</t>
        </is>
      </c>
      <c r="F802" s="8" t="inlineStr">
        <is>
          <t>I119</t>
        </is>
      </c>
      <c r="G802" s="4">
        <f>'Assumptions'!I62</f>
        <v/>
      </c>
      <c r="H802" s="4" t="inlineStr">
        <is>
          <t>input link</t>
        </is>
      </c>
    </row>
    <row r="803">
      <c r="B803" s="4" t="inlineStr">
        <is>
          <t>Model</t>
        </is>
      </c>
      <c r="C803" s="8" t="inlineStr">
        <is>
          <t>shares_outstanding</t>
        </is>
      </c>
      <c r="D803" s="4" t="inlineStr">
        <is>
          <t>주식수</t>
        </is>
      </c>
      <c r="E803" s="4" t="inlineStr">
        <is>
          <t>2024</t>
        </is>
      </c>
      <c r="F803" s="8" t="inlineStr">
        <is>
          <t>J119</t>
        </is>
      </c>
      <c r="G803" s="4">
        <f>'Assumptions'!J62</f>
        <v/>
      </c>
      <c r="H803" s="4" t="inlineStr">
        <is>
          <t>input link</t>
        </is>
      </c>
    </row>
    <row r="804">
      <c r="B804" s="4" t="inlineStr">
        <is>
          <t>Model</t>
        </is>
      </c>
      <c r="C804" s="8" t="inlineStr">
        <is>
          <t>shares_outstanding</t>
        </is>
      </c>
      <c r="D804" s="4" t="inlineStr">
        <is>
          <t>주식수</t>
        </is>
      </c>
      <c r="E804" s="4" t="inlineStr">
        <is>
          <t>2025</t>
        </is>
      </c>
      <c r="F804" s="8" t="inlineStr">
        <is>
          <t>K119</t>
        </is>
      </c>
      <c r="G804" s="4">
        <f>'Assumptions'!K62</f>
        <v/>
      </c>
      <c r="H804" s="4" t="inlineStr">
        <is>
          <t>input link</t>
        </is>
      </c>
    </row>
    <row r="805">
      <c r="B805" s="4" t="inlineStr">
        <is>
          <t>Model</t>
        </is>
      </c>
      <c r="C805" s="8" t="inlineStr">
        <is>
          <t>shares_outstanding</t>
        </is>
      </c>
      <c r="D805" s="4" t="inlineStr">
        <is>
          <t>주식수</t>
        </is>
      </c>
      <c r="E805" s="4" t="inlineStr">
        <is>
          <t>2026</t>
        </is>
      </c>
      <c r="F805" s="8" t="inlineStr">
        <is>
          <t>L119</t>
        </is>
      </c>
      <c r="G805" s="4">
        <f>'Assumptions'!L62</f>
        <v/>
      </c>
      <c r="H805" s="4" t="inlineStr">
        <is>
          <t>input link</t>
        </is>
      </c>
    </row>
    <row r="806">
      <c r="B806" s="4" t="inlineStr">
        <is>
          <t>Model</t>
        </is>
      </c>
      <c r="C806" s="8" t="inlineStr">
        <is>
          <t>shares_outstanding</t>
        </is>
      </c>
      <c r="D806" s="4" t="inlineStr">
        <is>
          <t>주식수</t>
        </is>
      </c>
      <c r="E806" s="4" t="inlineStr">
        <is>
          <t>2027</t>
        </is>
      </c>
      <c r="F806" s="8" t="inlineStr">
        <is>
          <t>M119</t>
        </is>
      </c>
      <c r="G806" s="4">
        <f>'Assumptions'!M62</f>
        <v/>
      </c>
      <c r="H806" s="4" t="inlineStr">
        <is>
          <t>input link</t>
        </is>
      </c>
    </row>
    <row r="807">
      <c r="B807" s="4" t="inlineStr">
        <is>
          <t>Model</t>
        </is>
      </c>
      <c r="C807" s="8" t="inlineStr">
        <is>
          <t>shares_outstanding</t>
        </is>
      </c>
      <c r="D807" s="4" t="inlineStr">
        <is>
          <t>주식수</t>
        </is>
      </c>
      <c r="E807" s="4" t="inlineStr">
        <is>
          <t>2028</t>
        </is>
      </c>
      <c r="F807" s="8" t="inlineStr">
        <is>
          <t>N119</t>
        </is>
      </c>
      <c r="G807" s="4">
        <f>'Assumptions'!N62</f>
        <v/>
      </c>
      <c r="H807" s="4" t="inlineStr">
        <is>
          <t>input link</t>
        </is>
      </c>
    </row>
    <row r="808">
      <c r="B808" s="4" t="inlineStr">
        <is>
          <t>Model</t>
        </is>
      </c>
      <c r="C808" s="8" t="inlineStr">
        <is>
          <t>shares_outstanding</t>
        </is>
      </c>
      <c r="D808" s="4" t="inlineStr">
        <is>
          <t>주식수</t>
        </is>
      </c>
      <c r="E808" s="4" t="inlineStr">
        <is>
          <t>2029</t>
        </is>
      </c>
      <c r="F808" s="8" t="inlineStr">
        <is>
          <t>O119</t>
        </is>
      </c>
      <c r="G808" s="4">
        <f>'Assumptions'!O62</f>
        <v/>
      </c>
      <c r="H808" s="4" t="inlineStr">
        <is>
          <t>input link</t>
        </is>
      </c>
    </row>
    <row r="809">
      <c r="B809" s="4" t="inlineStr">
        <is>
          <t>Model</t>
        </is>
      </c>
      <c r="C809" s="8" t="inlineStr">
        <is>
          <t>value_per_share</t>
        </is>
      </c>
      <c r="D809" s="4" t="inlineStr">
        <is>
          <t>주당가치</t>
        </is>
      </c>
      <c r="E809" s="4" t="inlineStr">
        <is>
          <t>2023</t>
        </is>
      </c>
      <c r="F809" s="8" t="inlineStr">
        <is>
          <t>I120</t>
        </is>
      </c>
      <c r="G809" s="4">
        <f>(I118/I119)</f>
        <v/>
      </c>
      <c r="H809" s="4" t="inlineStr">
        <is>
          <t>calculation</t>
        </is>
      </c>
    </row>
    <row r="810">
      <c r="B810" s="4" t="inlineStr">
        <is>
          <t>Model</t>
        </is>
      </c>
      <c r="C810" s="8" t="inlineStr">
        <is>
          <t>value_per_share</t>
        </is>
      </c>
      <c r="D810" s="4" t="inlineStr">
        <is>
          <t>주당가치</t>
        </is>
      </c>
      <c r="E810" s="4" t="inlineStr">
        <is>
          <t>2024</t>
        </is>
      </c>
      <c r="F810" s="8" t="inlineStr">
        <is>
          <t>J120</t>
        </is>
      </c>
      <c r="G810" s="4">
        <f>(J118/J119)</f>
        <v/>
      </c>
      <c r="H810" s="4" t="inlineStr">
        <is>
          <t>calculation</t>
        </is>
      </c>
    </row>
    <row r="811">
      <c r="B811" s="4" t="inlineStr">
        <is>
          <t>Model</t>
        </is>
      </c>
      <c r="C811" s="8" t="inlineStr">
        <is>
          <t>value_per_share</t>
        </is>
      </c>
      <c r="D811" s="4" t="inlineStr">
        <is>
          <t>주당가치</t>
        </is>
      </c>
      <c r="E811" s="4" t="inlineStr">
        <is>
          <t>2025</t>
        </is>
      </c>
      <c r="F811" s="8" t="inlineStr">
        <is>
          <t>K120</t>
        </is>
      </c>
      <c r="G811" s="4">
        <f>(K118/K119)</f>
        <v/>
      </c>
      <c r="H811" s="4" t="inlineStr">
        <is>
          <t>calculation</t>
        </is>
      </c>
    </row>
    <row r="812">
      <c r="B812" s="4" t="inlineStr">
        <is>
          <t>Model</t>
        </is>
      </c>
      <c r="C812" s="8" t="inlineStr">
        <is>
          <t>value_per_share</t>
        </is>
      </c>
      <c r="D812" s="4" t="inlineStr">
        <is>
          <t>주당가치</t>
        </is>
      </c>
      <c r="E812" s="4" t="inlineStr">
        <is>
          <t>2026</t>
        </is>
      </c>
      <c r="F812" s="8" t="inlineStr">
        <is>
          <t>L120</t>
        </is>
      </c>
      <c r="G812" s="4">
        <f>(L118/L119)</f>
        <v/>
      </c>
      <c r="H812" s="4" t="inlineStr">
        <is>
          <t>calculation</t>
        </is>
      </c>
    </row>
    <row r="813">
      <c r="B813" s="4" t="inlineStr">
        <is>
          <t>Model</t>
        </is>
      </c>
      <c r="C813" s="8" t="inlineStr">
        <is>
          <t>value_per_share</t>
        </is>
      </c>
      <c r="D813" s="4" t="inlineStr">
        <is>
          <t>주당가치</t>
        </is>
      </c>
      <c r="E813" s="4" t="inlineStr">
        <is>
          <t>2027</t>
        </is>
      </c>
      <c r="F813" s="8" t="inlineStr">
        <is>
          <t>M120</t>
        </is>
      </c>
      <c r="G813" s="4">
        <f>(M118/M119)</f>
        <v/>
      </c>
      <c r="H813" s="4" t="inlineStr">
        <is>
          <t>calculation</t>
        </is>
      </c>
    </row>
    <row r="814">
      <c r="B814" s="4" t="inlineStr">
        <is>
          <t>Model</t>
        </is>
      </c>
      <c r="C814" s="8" t="inlineStr">
        <is>
          <t>value_per_share</t>
        </is>
      </c>
      <c r="D814" s="4" t="inlineStr">
        <is>
          <t>주당가치</t>
        </is>
      </c>
      <c r="E814" s="4" t="inlineStr">
        <is>
          <t>2028</t>
        </is>
      </c>
      <c r="F814" s="8" t="inlineStr">
        <is>
          <t>N120</t>
        </is>
      </c>
      <c r="G814" s="4">
        <f>(N118/N119)</f>
        <v/>
      </c>
      <c r="H814" s="4" t="inlineStr">
        <is>
          <t>calculation</t>
        </is>
      </c>
    </row>
    <row r="815">
      <c r="B815" s="4" t="inlineStr">
        <is>
          <t>Model</t>
        </is>
      </c>
      <c r="C815" s="8" t="inlineStr">
        <is>
          <t>value_per_share</t>
        </is>
      </c>
      <c r="D815" s="4" t="inlineStr">
        <is>
          <t>주당가치</t>
        </is>
      </c>
      <c r="E815" s="4" t="inlineStr">
        <is>
          <t>2029</t>
        </is>
      </c>
      <c r="F815" s="8" t="inlineStr">
        <is>
          <t>O120</t>
        </is>
      </c>
      <c r="G815" s="4">
        <f>(O118/O119)</f>
        <v/>
      </c>
      <c r="H815" s="4" t="inlineStr">
        <is>
          <t>calculation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I119"/>
  <sheetViews>
    <sheetView showGridLines="0" zoomScale="10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71" customWidth="1" min="1" max="1"/>
    <col width="24" customWidth="1" min="2" max="2"/>
    <col width="30" customWidth="1" min="3" max="3"/>
    <col width="24" customWidth="1" min="4" max="4"/>
    <col width="8" customWidth="1" min="5" max="5"/>
    <col width="12" customWidth="1" min="6" max="6"/>
    <col width="60" customWidth="1" min="7" max="7"/>
    <col width="10" customWidth="1" min="8" max="8"/>
    <col width="70" customWidth="1" min="9" max="9"/>
  </cols>
  <sheetData>
    <row r="1" ht="16.5" customHeight="1">
      <c r="B1" s="1" t="inlineStr">
        <is>
          <t>Structure</t>
        </is>
      </c>
    </row>
    <row r="3">
      <c r="B3" s="2" t="inlineStr">
        <is>
          <t>ID</t>
        </is>
      </c>
      <c r="C3" s="2" t="inlineStr">
        <is>
          <t>Label</t>
        </is>
      </c>
      <c r="D3" s="2" t="inlineStr">
        <is>
          <t>Parent</t>
        </is>
      </c>
      <c r="E3" s="2" t="inlineStr">
        <is>
          <t>Level</t>
        </is>
      </c>
      <c r="F3" s="2" t="inlineStr">
        <is>
          <t>Type</t>
        </is>
      </c>
      <c r="G3" s="2" t="inlineStr">
        <is>
          <t>Formula</t>
        </is>
      </c>
      <c r="H3" s="2" t="inlineStr">
        <is>
          <t>Unit</t>
        </is>
      </c>
      <c r="I3" s="2" t="inlineStr">
        <is>
          <t>Description</t>
        </is>
      </c>
    </row>
    <row r="4">
      <c r="B4" s="8" t="inlineStr">
        <is>
          <t>root</t>
        </is>
      </c>
      <c r="C4" s="4" t="inlineStr">
        <is>
          <t>KCar Enterprise Value</t>
        </is>
      </c>
      <c r="D4" s="8" t="inlineStr"/>
      <c r="E4" s="4" t="n">
        <v>0</v>
      </c>
      <c r="F4" s="4" t="inlineStr">
        <is>
          <t>computed</t>
        </is>
      </c>
      <c r="G4" s="8" t="inlineStr">
        <is>
          <t>enterprise_value</t>
        </is>
      </c>
      <c r="H4" s="4" t="inlineStr">
        <is>
          <t>원</t>
        </is>
      </c>
      <c r="I4" s="4" t="inlineStr">
        <is>
          <t>케이카 재무모델의 최상위 구조. 채널별 중고차 판매 Q×P에서 매출·비용·FCFF·기업가치를 연결.</t>
        </is>
      </c>
    </row>
    <row r="5">
      <c r="B5" s="8" t="inlineStr">
        <is>
          <t>rev</t>
        </is>
      </c>
      <c r="C5" s="4" t="inlineStr">
        <is>
          <t>매출 합계</t>
        </is>
      </c>
      <c r="D5" s="8" t="inlineStr">
        <is>
          <t>root</t>
        </is>
      </c>
      <c r="E5" s="4" t="n">
        <v>1</v>
      </c>
      <c r="F5" s="4" t="inlineStr">
        <is>
          <t>computed</t>
        </is>
      </c>
      <c r="G5" s="8" t="inlineStr">
        <is>
          <t>SUM(used_car_sales, auction_sales, rental_sales, service_other_sales)</t>
        </is>
      </c>
      <c r="H5" s="4" t="inlineStr">
        <is>
          <t>원</t>
        </is>
      </c>
      <c r="I5" s="4" t="inlineStr">
        <is>
          <t>케이카 매출 합계. 이커머스/지점내방 중고차 판매와 경매, 렌터카, 용역/기타 매출을 합산.</t>
        </is>
      </c>
    </row>
    <row r="6">
      <c r="B6" s="8" t="inlineStr">
        <is>
          <t>used_car_sales</t>
        </is>
      </c>
      <c r="C6" s="4" t="inlineStr">
        <is>
          <t>중고차 판매</t>
        </is>
      </c>
      <c r="D6" s="8" t="inlineStr">
        <is>
          <t>rev</t>
        </is>
      </c>
      <c r="E6" s="4" t="n">
        <v>2</v>
      </c>
      <c r="F6" s="4" t="inlineStr">
        <is>
          <t>computed</t>
        </is>
      </c>
      <c r="G6" s="8" t="inlineStr">
        <is>
          <t>ecommerce_sales + branch_sales</t>
        </is>
      </c>
      <c r="H6" s="4" t="inlineStr">
        <is>
          <t>원</t>
        </is>
      </c>
      <c r="I6" s="4" t="inlineStr">
        <is>
          <t>핵심 매출원. 채널별·차급별 Q×P 모델로 계산.</t>
        </is>
      </c>
    </row>
    <row r="7">
      <c r="B7" s="8" t="inlineStr">
        <is>
          <t>ecommerce_sales</t>
        </is>
      </c>
      <c r="C7" s="4" t="inlineStr">
        <is>
          <t>이커머스 중고차 판매</t>
        </is>
      </c>
      <c r="D7" s="8" t="inlineStr">
        <is>
          <t>used_car_sales</t>
        </is>
      </c>
      <c r="E7" s="4" t="n">
        <v>3</v>
      </c>
      <c r="F7" s="4" t="inlineStr">
        <is>
          <t>computed</t>
        </is>
      </c>
      <c r="G7" s="8" t="inlineStr">
        <is>
          <t>SUM(ec_suv_rev, ec_large_rev, ec_midsize_rev, ec_compact_rev, ec_small_rev, ec_truck_rev, ec_other_rev)</t>
        </is>
      </c>
      <c r="H7" s="4" t="inlineStr">
        <is>
          <t>원</t>
        </is>
      </c>
      <c r="I7" s="4" t="inlineStr">
        <is>
          <t>온라인 채널 매출. 차급별 시장판매대수, 케이카 점유율, ASP를 곱해 계산.</t>
        </is>
      </c>
    </row>
    <row r="8">
      <c r="B8" s="8" t="inlineStr">
        <is>
          <t>ec_suv_rev</t>
        </is>
      </c>
      <c r="C8" s="4" t="inlineStr">
        <is>
          <t>이커머스 SUV</t>
        </is>
      </c>
      <c r="D8" s="8" t="inlineStr">
        <is>
          <t>ecommerce_sales</t>
        </is>
      </c>
      <c r="E8" s="4" t="n">
        <v>4</v>
      </c>
      <c r="F8" s="4" t="inlineStr">
        <is>
          <t>computed</t>
        </is>
      </c>
      <c r="G8" s="8" t="inlineStr">
        <is>
          <t>ec_suv_volume * ec_suv_asp</t>
        </is>
      </c>
      <c r="H8" s="4" t="inlineStr">
        <is>
          <t>원</t>
        </is>
      </c>
      <c r="I8" s="4" t="inlineStr">
        <is>
          <t>이커머스 SUV 매출 = 판매대수 × 평균판매가격.</t>
        </is>
      </c>
    </row>
    <row r="9">
      <c r="B9" s="8" t="inlineStr">
        <is>
          <t>market_suv</t>
        </is>
      </c>
      <c r="C9" s="4" t="inlineStr">
        <is>
          <t>SUV 시장판매대수</t>
        </is>
      </c>
      <c r="D9" s="8" t="inlineStr">
        <is>
          <t>ec_suv_rev</t>
        </is>
      </c>
      <c r="E9" s="4" t="n">
        <v>5</v>
      </c>
      <c r="F9" s="4" t="inlineStr">
        <is>
          <t>input</t>
        </is>
      </c>
      <c r="G9" s="8" t="inlineStr"/>
      <c r="H9" s="4" t="inlineStr">
        <is>
          <t>대</t>
        </is>
      </c>
      <c r="I9" s="4" t="inlineStr">
        <is>
          <t>차급별 중고차 시장 판매대수 가정.</t>
        </is>
      </c>
    </row>
    <row r="10">
      <c r="B10" s="8" t="inlineStr">
        <is>
          <t>ec_suv_share</t>
        </is>
      </c>
      <c r="C10" s="4" t="inlineStr">
        <is>
          <t>이커머스 SUV 점유율</t>
        </is>
      </c>
      <c r="D10" s="8" t="inlineStr">
        <is>
          <t>ec_suv_rev</t>
        </is>
      </c>
      <c r="E10" s="4" t="n">
        <v>5</v>
      </c>
      <c r="F10" s="4" t="inlineStr">
        <is>
          <t>input</t>
        </is>
      </c>
      <c r="G10" s="8" t="inlineStr"/>
      <c r="H10" s="4" t="inlineStr">
        <is>
          <t>%</t>
        </is>
      </c>
      <c r="I10" s="4" t="inlineStr">
        <is>
          <t>해당 차급 시장에서 케이카 이커머스 채널이 확보하는 비율.</t>
        </is>
      </c>
    </row>
    <row r="11">
      <c r="B11" s="8" t="inlineStr">
        <is>
          <t>ec_suv_volume</t>
        </is>
      </c>
      <c r="C11" s="4" t="inlineStr">
        <is>
          <t>이커머스 SUV 판매대수</t>
        </is>
      </c>
      <c r="D11" s="8" t="inlineStr">
        <is>
          <t>ec_suv_rev</t>
        </is>
      </c>
      <c r="E11" s="4" t="n">
        <v>5</v>
      </c>
      <c r="F11" s="4" t="inlineStr">
        <is>
          <t>computed</t>
        </is>
      </c>
      <c r="G11" s="8" t="inlineStr">
        <is>
          <t>market_suv * ec_suv_share</t>
        </is>
      </c>
      <c r="H11" s="4" t="inlineStr">
        <is>
          <t>대</t>
        </is>
      </c>
      <c r="I11" s="4" t="inlineStr">
        <is>
          <t>이커머스 SUV 판매대수 = 시장판매대수 × 점유율.</t>
        </is>
      </c>
    </row>
    <row r="12">
      <c r="B12" s="8" t="inlineStr">
        <is>
          <t>ec_suv_asp</t>
        </is>
      </c>
      <c r="C12" s="4" t="inlineStr">
        <is>
          <t>이커머스 SUV ASP</t>
        </is>
      </c>
      <c r="D12" s="8" t="inlineStr">
        <is>
          <t>ec_suv_rev</t>
        </is>
      </c>
      <c r="E12" s="4" t="n">
        <v>5</v>
      </c>
      <c r="F12" s="4" t="inlineStr">
        <is>
          <t>input</t>
        </is>
      </c>
      <c r="G12" s="8" t="inlineStr"/>
      <c r="H12" s="4" t="inlineStr">
        <is>
          <t>원/대</t>
        </is>
      </c>
      <c r="I12" s="4" t="inlineStr">
        <is>
          <t>이커머스 SUV 평균판매가격.</t>
        </is>
      </c>
    </row>
    <row r="13">
      <c r="B13" s="8" t="inlineStr">
        <is>
          <t>ec_large_rev</t>
        </is>
      </c>
      <c r="C13" s="4" t="inlineStr">
        <is>
          <t>이커머스 대형</t>
        </is>
      </c>
      <c r="D13" s="8" t="inlineStr">
        <is>
          <t>ecommerce_sales</t>
        </is>
      </c>
      <c r="E13" s="4" t="n">
        <v>4</v>
      </c>
      <c r="F13" s="4" t="inlineStr">
        <is>
          <t>computed</t>
        </is>
      </c>
      <c r="G13" s="8" t="inlineStr">
        <is>
          <t>ec_large_volume * ec_large_asp</t>
        </is>
      </c>
      <c r="H13" s="4" t="inlineStr">
        <is>
          <t>원</t>
        </is>
      </c>
      <c r="I13" s="4" t="inlineStr">
        <is>
          <t>이커머스 대형 매출 = 판매대수 × 평균판매가격.</t>
        </is>
      </c>
    </row>
    <row r="14">
      <c r="B14" s="8" t="inlineStr">
        <is>
          <t>market_large</t>
        </is>
      </c>
      <c r="C14" s="4" t="inlineStr">
        <is>
          <t>대형 시장판매대수</t>
        </is>
      </c>
      <c r="D14" s="8" t="inlineStr">
        <is>
          <t>ec_large_rev</t>
        </is>
      </c>
      <c r="E14" s="4" t="n">
        <v>5</v>
      </c>
      <c r="F14" s="4" t="inlineStr">
        <is>
          <t>input</t>
        </is>
      </c>
      <c r="G14" s="8" t="inlineStr"/>
      <c r="H14" s="4" t="inlineStr">
        <is>
          <t>대</t>
        </is>
      </c>
      <c r="I14" s="4" t="inlineStr">
        <is>
          <t>차급별 중고차 시장 판매대수 가정.</t>
        </is>
      </c>
    </row>
    <row r="15">
      <c r="B15" s="8" t="inlineStr">
        <is>
          <t>ec_large_share</t>
        </is>
      </c>
      <c r="C15" s="4" t="inlineStr">
        <is>
          <t>이커머스 대형 점유율</t>
        </is>
      </c>
      <c r="D15" s="8" t="inlineStr">
        <is>
          <t>ec_large_rev</t>
        </is>
      </c>
      <c r="E15" s="4" t="n">
        <v>5</v>
      </c>
      <c r="F15" s="4" t="inlineStr">
        <is>
          <t>input</t>
        </is>
      </c>
      <c r="G15" s="8" t="inlineStr"/>
      <c r="H15" s="4" t="inlineStr">
        <is>
          <t>%</t>
        </is>
      </c>
      <c r="I15" s="4" t="inlineStr">
        <is>
          <t>해당 차급 시장에서 케이카 이커머스 채널이 확보하는 비율.</t>
        </is>
      </c>
    </row>
    <row r="16">
      <c r="B16" s="8" t="inlineStr">
        <is>
          <t>ec_large_volume</t>
        </is>
      </c>
      <c r="C16" s="4" t="inlineStr">
        <is>
          <t>이커머스 대형 판매대수</t>
        </is>
      </c>
      <c r="D16" s="8" t="inlineStr">
        <is>
          <t>ec_large_rev</t>
        </is>
      </c>
      <c r="E16" s="4" t="n">
        <v>5</v>
      </c>
      <c r="F16" s="4" t="inlineStr">
        <is>
          <t>computed</t>
        </is>
      </c>
      <c r="G16" s="8" t="inlineStr">
        <is>
          <t>market_large * ec_large_share</t>
        </is>
      </c>
      <c r="H16" s="4" t="inlineStr">
        <is>
          <t>대</t>
        </is>
      </c>
      <c r="I16" s="4" t="inlineStr">
        <is>
          <t>이커머스 대형 판매대수 = 시장판매대수 × 점유율.</t>
        </is>
      </c>
    </row>
    <row r="17">
      <c r="B17" s="8" t="inlineStr">
        <is>
          <t>ec_large_asp</t>
        </is>
      </c>
      <c r="C17" s="4" t="inlineStr">
        <is>
          <t>이커머스 대형 ASP</t>
        </is>
      </c>
      <c r="D17" s="8" t="inlineStr">
        <is>
          <t>ec_large_rev</t>
        </is>
      </c>
      <c r="E17" s="4" t="n">
        <v>5</v>
      </c>
      <c r="F17" s="4" t="inlineStr">
        <is>
          <t>input</t>
        </is>
      </c>
      <c r="G17" s="8" t="inlineStr"/>
      <c r="H17" s="4" t="inlineStr">
        <is>
          <t>원/대</t>
        </is>
      </c>
      <c r="I17" s="4" t="inlineStr">
        <is>
          <t>이커머스 대형 평균판매가격.</t>
        </is>
      </c>
    </row>
    <row r="18">
      <c r="B18" s="8" t="inlineStr">
        <is>
          <t>ec_midsize_rev</t>
        </is>
      </c>
      <c r="C18" s="4" t="inlineStr">
        <is>
          <t>이커머스 중형</t>
        </is>
      </c>
      <c r="D18" s="8" t="inlineStr">
        <is>
          <t>ecommerce_sales</t>
        </is>
      </c>
      <c r="E18" s="4" t="n">
        <v>4</v>
      </c>
      <c r="F18" s="4" t="inlineStr">
        <is>
          <t>computed</t>
        </is>
      </c>
      <c r="G18" s="8" t="inlineStr">
        <is>
          <t>ec_midsize_volume * ec_midsize_asp</t>
        </is>
      </c>
      <c r="H18" s="4" t="inlineStr">
        <is>
          <t>원</t>
        </is>
      </c>
      <c r="I18" s="4" t="inlineStr">
        <is>
          <t>이커머스 중형 매출 = 판매대수 × 평균판매가격.</t>
        </is>
      </c>
    </row>
    <row r="19">
      <c r="B19" s="8" t="inlineStr">
        <is>
          <t>market_midsize</t>
        </is>
      </c>
      <c r="C19" s="4" t="inlineStr">
        <is>
          <t>중형 시장판매대수</t>
        </is>
      </c>
      <c r="D19" s="8" t="inlineStr">
        <is>
          <t>ec_midsize_rev</t>
        </is>
      </c>
      <c r="E19" s="4" t="n">
        <v>5</v>
      </c>
      <c r="F19" s="4" t="inlineStr">
        <is>
          <t>input</t>
        </is>
      </c>
      <c r="G19" s="8" t="inlineStr"/>
      <c r="H19" s="4" t="inlineStr">
        <is>
          <t>대</t>
        </is>
      </c>
      <c r="I19" s="4" t="inlineStr">
        <is>
          <t>차급별 중고차 시장 판매대수 가정.</t>
        </is>
      </c>
    </row>
    <row r="20">
      <c r="B20" s="8" t="inlineStr">
        <is>
          <t>ec_midsize_share</t>
        </is>
      </c>
      <c r="C20" s="4" t="inlineStr">
        <is>
          <t>이커머스 중형 점유율</t>
        </is>
      </c>
      <c r="D20" s="8" t="inlineStr">
        <is>
          <t>ec_midsize_rev</t>
        </is>
      </c>
      <c r="E20" s="4" t="n">
        <v>5</v>
      </c>
      <c r="F20" s="4" t="inlineStr">
        <is>
          <t>input</t>
        </is>
      </c>
      <c r="G20" s="8" t="inlineStr"/>
      <c r="H20" s="4" t="inlineStr">
        <is>
          <t>%</t>
        </is>
      </c>
      <c r="I20" s="4" t="inlineStr">
        <is>
          <t>해당 차급 시장에서 케이카 이커머스 채널이 확보하는 비율.</t>
        </is>
      </c>
    </row>
    <row r="21">
      <c r="B21" s="8" t="inlineStr">
        <is>
          <t>ec_midsize_volume</t>
        </is>
      </c>
      <c r="C21" s="4" t="inlineStr">
        <is>
          <t>이커머스 중형 판매대수</t>
        </is>
      </c>
      <c r="D21" s="8" t="inlineStr">
        <is>
          <t>ec_midsize_rev</t>
        </is>
      </c>
      <c r="E21" s="4" t="n">
        <v>5</v>
      </c>
      <c r="F21" s="4" t="inlineStr">
        <is>
          <t>computed</t>
        </is>
      </c>
      <c r="G21" s="8" t="inlineStr">
        <is>
          <t>market_midsize * ec_midsize_share</t>
        </is>
      </c>
      <c r="H21" s="4" t="inlineStr">
        <is>
          <t>대</t>
        </is>
      </c>
      <c r="I21" s="4" t="inlineStr">
        <is>
          <t>이커머스 중형 판매대수 = 시장판매대수 × 점유율.</t>
        </is>
      </c>
    </row>
    <row r="22">
      <c r="B22" s="8" t="inlineStr">
        <is>
          <t>ec_midsize_asp</t>
        </is>
      </c>
      <c r="C22" s="4" t="inlineStr">
        <is>
          <t>이커머스 중형 ASP</t>
        </is>
      </c>
      <c r="D22" s="8" t="inlineStr">
        <is>
          <t>ec_midsize_rev</t>
        </is>
      </c>
      <c r="E22" s="4" t="n">
        <v>5</v>
      </c>
      <c r="F22" s="4" t="inlineStr">
        <is>
          <t>input</t>
        </is>
      </c>
      <c r="G22" s="8" t="inlineStr"/>
      <c r="H22" s="4" t="inlineStr">
        <is>
          <t>원/대</t>
        </is>
      </c>
      <c r="I22" s="4" t="inlineStr">
        <is>
          <t>이커머스 중형 평균판매가격.</t>
        </is>
      </c>
    </row>
    <row r="23">
      <c r="B23" s="8" t="inlineStr">
        <is>
          <t>ec_compact_rev</t>
        </is>
      </c>
      <c r="C23" s="4" t="inlineStr">
        <is>
          <t>이커머스 준중형</t>
        </is>
      </c>
      <c r="D23" s="8" t="inlineStr">
        <is>
          <t>ecommerce_sales</t>
        </is>
      </c>
      <c r="E23" s="4" t="n">
        <v>4</v>
      </c>
      <c r="F23" s="4" t="inlineStr">
        <is>
          <t>computed</t>
        </is>
      </c>
      <c r="G23" s="8" t="inlineStr">
        <is>
          <t>ec_compact_volume * ec_compact_asp</t>
        </is>
      </c>
      <c r="H23" s="4" t="inlineStr">
        <is>
          <t>원</t>
        </is>
      </c>
      <c r="I23" s="4" t="inlineStr">
        <is>
          <t>이커머스 준중형 매출 = 판매대수 × 평균판매가격.</t>
        </is>
      </c>
    </row>
    <row r="24">
      <c r="B24" s="8" t="inlineStr">
        <is>
          <t>market_compact</t>
        </is>
      </c>
      <c r="C24" s="4" t="inlineStr">
        <is>
          <t>준중형 시장판매대수</t>
        </is>
      </c>
      <c r="D24" s="8" t="inlineStr">
        <is>
          <t>ec_compact_rev</t>
        </is>
      </c>
      <c r="E24" s="4" t="n">
        <v>5</v>
      </c>
      <c r="F24" s="4" t="inlineStr">
        <is>
          <t>input</t>
        </is>
      </c>
      <c r="G24" s="8" t="inlineStr"/>
      <c r="H24" s="4" t="inlineStr">
        <is>
          <t>대</t>
        </is>
      </c>
      <c r="I24" s="4" t="inlineStr">
        <is>
          <t>차급별 중고차 시장 판매대수 가정.</t>
        </is>
      </c>
    </row>
    <row r="25">
      <c r="B25" s="8" t="inlineStr">
        <is>
          <t>ec_compact_share</t>
        </is>
      </c>
      <c r="C25" s="4" t="inlineStr">
        <is>
          <t>이커머스 준중형 점유율</t>
        </is>
      </c>
      <c r="D25" s="8" t="inlineStr">
        <is>
          <t>ec_compact_rev</t>
        </is>
      </c>
      <c r="E25" s="4" t="n">
        <v>5</v>
      </c>
      <c r="F25" s="4" t="inlineStr">
        <is>
          <t>input</t>
        </is>
      </c>
      <c r="G25" s="8" t="inlineStr"/>
      <c r="H25" s="4" t="inlineStr">
        <is>
          <t>%</t>
        </is>
      </c>
      <c r="I25" s="4" t="inlineStr">
        <is>
          <t>해당 차급 시장에서 케이카 이커머스 채널이 확보하는 비율.</t>
        </is>
      </c>
    </row>
    <row r="26">
      <c r="B26" s="8" t="inlineStr">
        <is>
          <t>ec_compact_volume</t>
        </is>
      </c>
      <c r="C26" s="4" t="inlineStr">
        <is>
          <t>이커머스 준중형 판매대수</t>
        </is>
      </c>
      <c r="D26" s="8" t="inlineStr">
        <is>
          <t>ec_compact_rev</t>
        </is>
      </c>
      <c r="E26" s="4" t="n">
        <v>5</v>
      </c>
      <c r="F26" s="4" t="inlineStr">
        <is>
          <t>computed</t>
        </is>
      </c>
      <c r="G26" s="8" t="inlineStr">
        <is>
          <t>market_compact * ec_compact_share</t>
        </is>
      </c>
      <c r="H26" s="4" t="inlineStr">
        <is>
          <t>대</t>
        </is>
      </c>
      <c r="I26" s="4" t="inlineStr">
        <is>
          <t>이커머스 준중형 판매대수 = 시장판매대수 × 점유율.</t>
        </is>
      </c>
    </row>
    <row r="27">
      <c r="B27" s="8" t="inlineStr">
        <is>
          <t>ec_compact_asp</t>
        </is>
      </c>
      <c r="C27" s="4" t="inlineStr">
        <is>
          <t>이커머스 준중형 ASP</t>
        </is>
      </c>
      <c r="D27" s="8" t="inlineStr">
        <is>
          <t>ec_compact_rev</t>
        </is>
      </c>
      <c r="E27" s="4" t="n">
        <v>5</v>
      </c>
      <c r="F27" s="4" t="inlineStr">
        <is>
          <t>input</t>
        </is>
      </c>
      <c r="G27" s="8" t="inlineStr"/>
      <c r="H27" s="4" t="inlineStr">
        <is>
          <t>원/대</t>
        </is>
      </c>
      <c r="I27" s="4" t="inlineStr">
        <is>
          <t>이커머스 준중형 평균판매가격.</t>
        </is>
      </c>
    </row>
    <row r="28">
      <c r="B28" s="8" t="inlineStr">
        <is>
          <t>ec_small_rev</t>
        </is>
      </c>
      <c r="C28" s="4" t="inlineStr">
        <is>
          <t>이커머스 소형</t>
        </is>
      </c>
      <c r="D28" s="8" t="inlineStr">
        <is>
          <t>ecommerce_sales</t>
        </is>
      </c>
      <c r="E28" s="4" t="n">
        <v>4</v>
      </c>
      <c r="F28" s="4" t="inlineStr">
        <is>
          <t>computed</t>
        </is>
      </c>
      <c r="G28" s="8" t="inlineStr">
        <is>
          <t>ec_small_volume * ec_small_asp</t>
        </is>
      </c>
      <c r="H28" s="4" t="inlineStr">
        <is>
          <t>원</t>
        </is>
      </c>
      <c r="I28" s="4" t="inlineStr">
        <is>
          <t>이커머스 소형 매출 = 판매대수 × 평균판매가격.</t>
        </is>
      </c>
    </row>
    <row r="29">
      <c r="B29" s="8" t="inlineStr">
        <is>
          <t>market_small</t>
        </is>
      </c>
      <c r="C29" s="4" t="inlineStr">
        <is>
          <t>소형 시장판매대수</t>
        </is>
      </c>
      <c r="D29" s="8" t="inlineStr">
        <is>
          <t>ec_small_rev</t>
        </is>
      </c>
      <c r="E29" s="4" t="n">
        <v>5</v>
      </c>
      <c r="F29" s="4" t="inlineStr">
        <is>
          <t>input</t>
        </is>
      </c>
      <c r="G29" s="8" t="inlineStr"/>
      <c r="H29" s="4" t="inlineStr">
        <is>
          <t>대</t>
        </is>
      </c>
      <c r="I29" s="4" t="inlineStr">
        <is>
          <t>차급별 중고차 시장 판매대수 가정.</t>
        </is>
      </c>
    </row>
    <row r="30">
      <c r="B30" s="8" t="inlineStr">
        <is>
          <t>ec_small_share</t>
        </is>
      </c>
      <c r="C30" s="4" t="inlineStr">
        <is>
          <t>이커머스 소형 점유율</t>
        </is>
      </c>
      <c r="D30" s="8" t="inlineStr">
        <is>
          <t>ec_small_rev</t>
        </is>
      </c>
      <c r="E30" s="4" t="n">
        <v>5</v>
      </c>
      <c r="F30" s="4" t="inlineStr">
        <is>
          <t>input</t>
        </is>
      </c>
      <c r="G30" s="8" t="inlineStr"/>
      <c r="H30" s="4" t="inlineStr">
        <is>
          <t>%</t>
        </is>
      </c>
      <c r="I30" s="4" t="inlineStr">
        <is>
          <t>해당 차급 시장에서 케이카 이커머스 채널이 확보하는 비율.</t>
        </is>
      </c>
    </row>
    <row r="31">
      <c r="B31" s="8" t="inlineStr">
        <is>
          <t>ec_small_volume</t>
        </is>
      </c>
      <c r="C31" s="4" t="inlineStr">
        <is>
          <t>이커머스 소형 판매대수</t>
        </is>
      </c>
      <c r="D31" s="8" t="inlineStr">
        <is>
          <t>ec_small_rev</t>
        </is>
      </c>
      <c r="E31" s="4" t="n">
        <v>5</v>
      </c>
      <c r="F31" s="4" t="inlineStr">
        <is>
          <t>computed</t>
        </is>
      </c>
      <c r="G31" s="8" t="inlineStr">
        <is>
          <t>market_small * ec_small_share</t>
        </is>
      </c>
      <c r="H31" s="4" t="inlineStr">
        <is>
          <t>대</t>
        </is>
      </c>
      <c r="I31" s="4" t="inlineStr">
        <is>
          <t>이커머스 소형 판매대수 = 시장판매대수 × 점유율.</t>
        </is>
      </c>
    </row>
    <row r="32">
      <c r="B32" s="8" t="inlineStr">
        <is>
          <t>ec_small_asp</t>
        </is>
      </c>
      <c r="C32" s="4" t="inlineStr">
        <is>
          <t>이커머스 소형 ASP</t>
        </is>
      </c>
      <c r="D32" s="8" t="inlineStr">
        <is>
          <t>ec_small_rev</t>
        </is>
      </c>
      <c r="E32" s="4" t="n">
        <v>5</v>
      </c>
      <c r="F32" s="4" t="inlineStr">
        <is>
          <t>input</t>
        </is>
      </c>
      <c r="G32" s="8" t="inlineStr"/>
      <c r="H32" s="4" t="inlineStr">
        <is>
          <t>원/대</t>
        </is>
      </c>
      <c r="I32" s="4" t="inlineStr">
        <is>
          <t>이커머스 소형 평균판매가격.</t>
        </is>
      </c>
    </row>
    <row r="33">
      <c r="B33" s="8" t="inlineStr">
        <is>
          <t>ec_truck_rev</t>
        </is>
      </c>
      <c r="C33" s="4" t="inlineStr">
        <is>
          <t>이커머스 화물차</t>
        </is>
      </c>
      <c r="D33" s="8" t="inlineStr">
        <is>
          <t>ecommerce_sales</t>
        </is>
      </c>
      <c r="E33" s="4" t="n">
        <v>4</v>
      </c>
      <c r="F33" s="4" t="inlineStr">
        <is>
          <t>computed</t>
        </is>
      </c>
      <c r="G33" s="8" t="inlineStr">
        <is>
          <t>ec_truck_volume * ec_truck_asp</t>
        </is>
      </c>
      <c r="H33" s="4" t="inlineStr">
        <is>
          <t>원</t>
        </is>
      </c>
      <c r="I33" s="4" t="inlineStr">
        <is>
          <t>이커머스 화물차 매출 = 판매대수 × 평균판매가격.</t>
        </is>
      </c>
    </row>
    <row r="34">
      <c r="B34" s="8" t="inlineStr">
        <is>
          <t>market_truck</t>
        </is>
      </c>
      <c r="C34" s="4" t="inlineStr">
        <is>
          <t>화물차 시장판매대수</t>
        </is>
      </c>
      <c r="D34" s="8" t="inlineStr">
        <is>
          <t>ec_truck_rev</t>
        </is>
      </c>
      <c r="E34" s="4" t="n">
        <v>5</v>
      </c>
      <c r="F34" s="4" t="inlineStr">
        <is>
          <t>input</t>
        </is>
      </c>
      <c r="G34" s="8" t="inlineStr"/>
      <c r="H34" s="4" t="inlineStr">
        <is>
          <t>대</t>
        </is>
      </c>
      <c r="I34" s="4" t="inlineStr">
        <is>
          <t>차급별 중고차 시장 판매대수 가정.</t>
        </is>
      </c>
    </row>
    <row r="35">
      <c r="B35" s="8" t="inlineStr">
        <is>
          <t>ec_truck_share</t>
        </is>
      </c>
      <c r="C35" s="4" t="inlineStr">
        <is>
          <t>이커머스 화물차 점유율</t>
        </is>
      </c>
      <c r="D35" s="8" t="inlineStr">
        <is>
          <t>ec_truck_rev</t>
        </is>
      </c>
      <c r="E35" s="4" t="n">
        <v>5</v>
      </c>
      <c r="F35" s="4" t="inlineStr">
        <is>
          <t>input</t>
        </is>
      </c>
      <c r="G35" s="8" t="inlineStr"/>
      <c r="H35" s="4" t="inlineStr">
        <is>
          <t>%</t>
        </is>
      </c>
      <c r="I35" s="4" t="inlineStr">
        <is>
          <t>해당 차급 시장에서 케이카 이커머스 채널이 확보하는 비율.</t>
        </is>
      </c>
    </row>
    <row r="36">
      <c r="B36" s="8" t="inlineStr">
        <is>
          <t>ec_truck_volume</t>
        </is>
      </c>
      <c r="C36" s="4" t="inlineStr">
        <is>
          <t>이커머스 화물차 판매대수</t>
        </is>
      </c>
      <c r="D36" s="8" t="inlineStr">
        <is>
          <t>ec_truck_rev</t>
        </is>
      </c>
      <c r="E36" s="4" t="n">
        <v>5</v>
      </c>
      <c r="F36" s="4" t="inlineStr">
        <is>
          <t>computed</t>
        </is>
      </c>
      <c r="G36" s="8" t="inlineStr">
        <is>
          <t>market_truck * ec_truck_share</t>
        </is>
      </c>
      <c r="H36" s="4" t="inlineStr">
        <is>
          <t>대</t>
        </is>
      </c>
      <c r="I36" s="4" t="inlineStr">
        <is>
          <t>이커머스 화물차 판매대수 = 시장판매대수 × 점유율.</t>
        </is>
      </c>
    </row>
    <row r="37">
      <c r="B37" s="8" t="inlineStr">
        <is>
          <t>ec_truck_asp</t>
        </is>
      </c>
      <c r="C37" s="4" t="inlineStr">
        <is>
          <t>이커머스 화물차 ASP</t>
        </is>
      </c>
      <c r="D37" s="8" t="inlineStr">
        <is>
          <t>ec_truck_rev</t>
        </is>
      </c>
      <c r="E37" s="4" t="n">
        <v>5</v>
      </c>
      <c r="F37" s="4" t="inlineStr">
        <is>
          <t>input</t>
        </is>
      </c>
      <c r="G37" s="8" t="inlineStr"/>
      <c r="H37" s="4" t="inlineStr">
        <is>
          <t>원/대</t>
        </is>
      </c>
      <c r="I37" s="4" t="inlineStr">
        <is>
          <t>이커머스 화물차 평균판매가격.</t>
        </is>
      </c>
    </row>
    <row r="38">
      <c r="B38" s="8" t="inlineStr">
        <is>
          <t>ec_other_rev</t>
        </is>
      </c>
      <c r="C38" s="4" t="inlineStr">
        <is>
          <t>이커머스 기타</t>
        </is>
      </c>
      <c r="D38" s="8" t="inlineStr">
        <is>
          <t>ecommerce_sales</t>
        </is>
      </c>
      <c r="E38" s="4" t="n">
        <v>4</v>
      </c>
      <c r="F38" s="4" t="inlineStr">
        <is>
          <t>computed</t>
        </is>
      </c>
      <c r="G38" s="8" t="inlineStr">
        <is>
          <t>ec_other_volume * ec_other_asp</t>
        </is>
      </c>
      <c r="H38" s="4" t="inlineStr">
        <is>
          <t>원</t>
        </is>
      </c>
      <c r="I38" s="4" t="inlineStr">
        <is>
          <t>이커머스 기타 매출 = 판매대수 × 평균판매가격.</t>
        </is>
      </c>
    </row>
    <row r="39">
      <c r="B39" s="8" t="inlineStr">
        <is>
          <t>market_other</t>
        </is>
      </c>
      <c r="C39" s="4" t="inlineStr">
        <is>
          <t>기타 시장판매대수</t>
        </is>
      </c>
      <c r="D39" s="8" t="inlineStr">
        <is>
          <t>ec_other_rev</t>
        </is>
      </c>
      <c r="E39" s="4" t="n">
        <v>5</v>
      </c>
      <c r="F39" s="4" t="inlineStr">
        <is>
          <t>input</t>
        </is>
      </c>
      <c r="G39" s="8" t="inlineStr"/>
      <c r="H39" s="4" t="inlineStr">
        <is>
          <t>대</t>
        </is>
      </c>
      <c r="I39" s="4" t="inlineStr">
        <is>
          <t>차급별 중고차 시장 판매대수 가정.</t>
        </is>
      </c>
    </row>
    <row r="40">
      <c r="B40" s="8" t="inlineStr">
        <is>
          <t>ec_other_share</t>
        </is>
      </c>
      <c r="C40" s="4" t="inlineStr">
        <is>
          <t>이커머스 기타 점유율</t>
        </is>
      </c>
      <c r="D40" s="8" t="inlineStr">
        <is>
          <t>ec_other_rev</t>
        </is>
      </c>
      <c r="E40" s="4" t="n">
        <v>5</v>
      </c>
      <c r="F40" s="4" t="inlineStr">
        <is>
          <t>input</t>
        </is>
      </c>
      <c r="G40" s="8" t="inlineStr"/>
      <c r="H40" s="4" t="inlineStr">
        <is>
          <t>%</t>
        </is>
      </c>
      <c r="I40" s="4" t="inlineStr">
        <is>
          <t>해당 차급 시장에서 케이카 이커머스 채널이 확보하는 비율.</t>
        </is>
      </c>
    </row>
    <row r="41">
      <c r="B41" s="8" t="inlineStr">
        <is>
          <t>ec_other_volume</t>
        </is>
      </c>
      <c r="C41" s="4" t="inlineStr">
        <is>
          <t>이커머스 기타 판매대수</t>
        </is>
      </c>
      <c r="D41" s="8" t="inlineStr">
        <is>
          <t>ec_other_rev</t>
        </is>
      </c>
      <c r="E41" s="4" t="n">
        <v>5</v>
      </c>
      <c r="F41" s="4" t="inlineStr">
        <is>
          <t>computed</t>
        </is>
      </c>
      <c r="G41" s="8" t="inlineStr">
        <is>
          <t>market_other * ec_other_share</t>
        </is>
      </c>
      <c r="H41" s="4" t="inlineStr">
        <is>
          <t>대</t>
        </is>
      </c>
      <c r="I41" s="4" t="inlineStr">
        <is>
          <t>이커머스 기타 판매대수 = 시장판매대수 × 점유율.</t>
        </is>
      </c>
    </row>
    <row r="42">
      <c r="B42" s="8" t="inlineStr">
        <is>
          <t>ec_other_asp</t>
        </is>
      </c>
      <c r="C42" s="4" t="inlineStr">
        <is>
          <t>이커머스 기타 ASP</t>
        </is>
      </c>
      <c r="D42" s="8" t="inlineStr">
        <is>
          <t>ec_other_rev</t>
        </is>
      </c>
      <c r="E42" s="4" t="n">
        <v>5</v>
      </c>
      <c r="F42" s="4" t="inlineStr">
        <is>
          <t>input</t>
        </is>
      </c>
      <c r="G42" s="8" t="inlineStr"/>
      <c r="H42" s="4" t="inlineStr">
        <is>
          <t>원/대</t>
        </is>
      </c>
      <c r="I42" s="4" t="inlineStr">
        <is>
          <t>이커머스 기타 평균판매가격.</t>
        </is>
      </c>
    </row>
    <row r="43">
      <c r="B43" s="8" t="inlineStr">
        <is>
          <t>branch_sales</t>
        </is>
      </c>
      <c r="C43" s="4" t="inlineStr">
        <is>
          <t>지점내방 중고차 판매</t>
        </is>
      </c>
      <c r="D43" s="8" t="inlineStr">
        <is>
          <t>used_car_sales</t>
        </is>
      </c>
      <c r="E43" s="4" t="n">
        <v>3</v>
      </c>
      <c r="F43" s="4" t="inlineStr">
        <is>
          <t>computed</t>
        </is>
      </c>
      <c r="G43" s="8" t="inlineStr">
        <is>
          <t>SUM(br_suv_rev, br_large_rev, br_midsize_rev, br_compact_rev, br_small_rev, br_truck_rev, br_other_rev)</t>
        </is>
      </c>
      <c r="H43" s="4" t="inlineStr">
        <is>
          <t>원</t>
        </is>
      </c>
      <c r="I43" s="4" t="inlineStr">
        <is>
          <t>오프라인 지점 방문 채널 매출. 이커머스와 같은 차급 구조를 사용.</t>
        </is>
      </c>
    </row>
    <row r="44">
      <c r="B44" s="8" t="inlineStr">
        <is>
          <t>br_suv_rev</t>
        </is>
      </c>
      <c r="C44" s="4" t="inlineStr">
        <is>
          <t>지점내방 SUV</t>
        </is>
      </c>
      <c r="D44" s="8" t="inlineStr">
        <is>
          <t>branch_sales</t>
        </is>
      </c>
      <c r="E44" s="4" t="n">
        <v>4</v>
      </c>
      <c r="F44" s="4" t="inlineStr">
        <is>
          <t>computed</t>
        </is>
      </c>
      <c r="G44" s="8" t="inlineStr">
        <is>
          <t>br_suv_volume * br_suv_asp</t>
        </is>
      </c>
      <c r="H44" s="4" t="inlineStr">
        <is>
          <t>원</t>
        </is>
      </c>
      <c r="I44" s="4" t="inlineStr">
        <is>
          <t>지점내방 SUV 매출 = 판매대수 × 평균판매가격.</t>
        </is>
      </c>
    </row>
    <row r="45">
      <c r="B45" s="8" t="inlineStr">
        <is>
          <t>br_suv_share</t>
        </is>
      </c>
      <c r="C45" s="4" t="inlineStr">
        <is>
          <t>지점내방 SUV 점유율</t>
        </is>
      </c>
      <c r="D45" s="8" t="inlineStr">
        <is>
          <t>br_suv_rev</t>
        </is>
      </c>
      <c r="E45" s="4" t="n">
        <v>5</v>
      </c>
      <c r="F45" s="4" t="inlineStr">
        <is>
          <t>input</t>
        </is>
      </c>
      <c r="G45" s="8" t="inlineStr"/>
      <c r="H45" s="4" t="inlineStr">
        <is>
          <t>%</t>
        </is>
      </c>
      <c r="I45" s="4" t="inlineStr">
        <is>
          <t>해당 차급 시장에서 케이카 지점내방 채널이 확보하는 비율.</t>
        </is>
      </c>
    </row>
    <row r="46">
      <c r="B46" s="8" t="inlineStr">
        <is>
          <t>br_suv_volume</t>
        </is>
      </c>
      <c r="C46" s="4" t="inlineStr">
        <is>
          <t>지점내방 SUV 판매대수</t>
        </is>
      </c>
      <c r="D46" s="8" t="inlineStr">
        <is>
          <t>br_suv_rev</t>
        </is>
      </c>
      <c r="E46" s="4" t="n">
        <v>5</v>
      </c>
      <c r="F46" s="4" t="inlineStr">
        <is>
          <t>computed</t>
        </is>
      </c>
      <c r="G46" s="8" t="inlineStr">
        <is>
          <t>market_suv * br_suv_share</t>
        </is>
      </c>
      <c r="H46" s="4" t="inlineStr">
        <is>
          <t>대</t>
        </is>
      </c>
      <c r="I46" s="4" t="inlineStr">
        <is>
          <t>지점내방 SUV 판매대수 = 시장판매대수 × 점유율.</t>
        </is>
      </c>
    </row>
    <row r="47">
      <c r="B47" s="8" t="inlineStr">
        <is>
          <t>br_suv_asp</t>
        </is>
      </c>
      <c r="C47" s="4" t="inlineStr">
        <is>
          <t>지점내방 SUV ASP</t>
        </is>
      </c>
      <c r="D47" s="8" t="inlineStr">
        <is>
          <t>br_suv_rev</t>
        </is>
      </c>
      <c r="E47" s="4" t="n">
        <v>5</v>
      </c>
      <c r="F47" s="4" t="inlineStr">
        <is>
          <t>input</t>
        </is>
      </c>
      <c r="G47" s="8" t="inlineStr"/>
      <c r="H47" s="4" t="inlineStr">
        <is>
          <t>원/대</t>
        </is>
      </c>
      <c r="I47" s="4" t="inlineStr">
        <is>
          <t>지점내방 SUV 평균판매가격.</t>
        </is>
      </c>
    </row>
    <row r="48">
      <c r="B48" s="8" t="inlineStr">
        <is>
          <t>br_large_rev</t>
        </is>
      </c>
      <c r="C48" s="4" t="inlineStr">
        <is>
          <t>지점내방 대형</t>
        </is>
      </c>
      <c r="D48" s="8" t="inlineStr">
        <is>
          <t>branch_sales</t>
        </is>
      </c>
      <c r="E48" s="4" t="n">
        <v>4</v>
      </c>
      <c r="F48" s="4" t="inlineStr">
        <is>
          <t>computed</t>
        </is>
      </c>
      <c r="G48" s="8" t="inlineStr">
        <is>
          <t>br_large_volume * br_large_asp</t>
        </is>
      </c>
      <c r="H48" s="4" t="inlineStr">
        <is>
          <t>원</t>
        </is>
      </c>
      <c r="I48" s="4" t="inlineStr">
        <is>
          <t>지점내방 대형 매출 = 판매대수 × 평균판매가격.</t>
        </is>
      </c>
    </row>
    <row r="49">
      <c r="B49" s="8" t="inlineStr">
        <is>
          <t>br_large_share</t>
        </is>
      </c>
      <c r="C49" s="4" t="inlineStr">
        <is>
          <t>지점내방 대형 점유율</t>
        </is>
      </c>
      <c r="D49" s="8" t="inlineStr">
        <is>
          <t>br_large_rev</t>
        </is>
      </c>
      <c r="E49" s="4" t="n">
        <v>5</v>
      </c>
      <c r="F49" s="4" t="inlineStr">
        <is>
          <t>input</t>
        </is>
      </c>
      <c r="G49" s="8" t="inlineStr"/>
      <c r="H49" s="4" t="inlineStr">
        <is>
          <t>%</t>
        </is>
      </c>
      <c r="I49" s="4" t="inlineStr">
        <is>
          <t>해당 차급 시장에서 케이카 지점내방 채널이 확보하는 비율.</t>
        </is>
      </c>
    </row>
    <row r="50">
      <c r="B50" s="8" t="inlineStr">
        <is>
          <t>br_large_volume</t>
        </is>
      </c>
      <c r="C50" s="4" t="inlineStr">
        <is>
          <t>지점내방 대형 판매대수</t>
        </is>
      </c>
      <c r="D50" s="8" t="inlineStr">
        <is>
          <t>br_large_rev</t>
        </is>
      </c>
      <c r="E50" s="4" t="n">
        <v>5</v>
      </c>
      <c r="F50" s="4" t="inlineStr">
        <is>
          <t>computed</t>
        </is>
      </c>
      <c r="G50" s="8" t="inlineStr">
        <is>
          <t>market_large * br_large_share</t>
        </is>
      </c>
      <c r="H50" s="4" t="inlineStr">
        <is>
          <t>대</t>
        </is>
      </c>
      <c r="I50" s="4" t="inlineStr">
        <is>
          <t>지점내방 대형 판매대수 = 시장판매대수 × 점유율.</t>
        </is>
      </c>
    </row>
    <row r="51">
      <c r="B51" s="8" t="inlineStr">
        <is>
          <t>br_large_asp</t>
        </is>
      </c>
      <c r="C51" s="4" t="inlineStr">
        <is>
          <t>지점내방 대형 ASP</t>
        </is>
      </c>
      <c r="D51" s="8" t="inlineStr">
        <is>
          <t>br_large_rev</t>
        </is>
      </c>
      <c r="E51" s="4" t="n">
        <v>5</v>
      </c>
      <c r="F51" s="4" t="inlineStr">
        <is>
          <t>input</t>
        </is>
      </c>
      <c r="G51" s="8" t="inlineStr"/>
      <c r="H51" s="4" t="inlineStr">
        <is>
          <t>원/대</t>
        </is>
      </c>
      <c r="I51" s="4" t="inlineStr">
        <is>
          <t>지점내방 대형 평균판매가격.</t>
        </is>
      </c>
    </row>
    <row r="52">
      <c r="B52" s="8" t="inlineStr">
        <is>
          <t>br_midsize_rev</t>
        </is>
      </c>
      <c r="C52" s="4" t="inlineStr">
        <is>
          <t>지점내방 중형</t>
        </is>
      </c>
      <c r="D52" s="8" t="inlineStr">
        <is>
          <t>branch_sales</t>
        </is>
      </c>
      <c r="E52" s="4" t="n">
        <v>4</v>
      </c>
      <c r="F52" s="4" t="inlineStr">
        <is>
          <t>computed</t>
        </is>
      </c>
      <c r="G52" s="8" t="inlineStr">
        <is>
          <t>br_midsize_volume * br_midsize_asp</t>
        </is>
      </c>
      <c r="H52" s="4" t="inlineStr">
        <is>
          <t>원</t>
        </is>
      </c>
      <c r="I52" s="4" t="inlineStr">
        <is>
          <t>지점내방 중형 매출 = 판매대수 × 평균판매가격.</t>
        </is>
      </c>
    </row>
    <row r="53">
      <c r="B53" s="8" t="inlineStr">
        <is>
          <t>br_midsize_share</t>
        </is>
      </c>
      <c r="C53" s="4" t="inlineStr">
        <is>
          <t>지점내방 중형 점유율</t>
        </is>
      </c>
      <c r="D53" s="8" t="inlineStr">
        <is>
          <t>br_midsize_rev</t>
        </is>
      </c>
      <c r="E53" s="4" t="n">
        <v>5</v>
      </c>
      <c r="F53" s="4" t="inlineStr">
        <is>
          <t>input</t>
        </is>
      </c>
      <c r="G53" s="8" t="inlineStr"/>
      <c r="H53" s="4" t="inlineStr">
        <is>
          <t>%</t>
        </is>
      </c>
      <c r="I53" s="4" t="inlineStr">
        <is>
          <t>해당 차급 시장에서 케이카 지점내방 채널이 확보하는 비율.</t>
        </is>
      </c>
    </row>
    <row r="54">
      <c r="B54" s="8" t="inlineStr">
        <is>
          <t>br_midsize_volume</t>
        </is>
      </c>
      <c r="C54" s="4" t="inlineStr">
        <is>
          <t>지점내방 중형 판매대수</t>
        </is>
      </c>
      <c r="D54" s="8" t="inlineStr">
        <is>
          <t>br_midsize_rev</t>
        </is>
      </c>
      <c r="E54" s="4" t="n">
        <v>5</v>
      </c>
      <c r="F54" s="4" t="inlineStr">
        <is>
          <t>computed</t>
        </is>
      </c>
      <c r="G54" s="8" t="inlineStr">
        <is>
          <t>market_midsize * br_midsize_share</t>
        </is>
      </c>
      <c r="H54" s="4" t="inlineStr">
        <is>
          <t>대</t>
        </is>
      </c>
      <c r="I54" s="4" t="inlineStr">
        <is>
          <t>지점내방 중형 판매대수 = 시장판매대수 × 점유율.</t>
        </is>
      </c>
    </row>
    <row r="55">
      <c r="B55" s="8" t="inlineStr">
        <is>
          <t>br_midsize_asp</t>
        </is>
      </c>
      <c r="C55" s="4" t="inlineStr">
        <is>
          <t>지점내방 중형 ASP</t>
        </is>
      </c>
      <c r="D55" s="8" t="inlineStr">
        <is>
          <t>br_midsize_rev</t>
        </is>
      </c>
      <c r="E55" s="4" t="n">
        <v>5</v>
      </c>
      <c r="F55" s="4" t="inlineStr">
        <is>
          <t>input</t>
        </is>
      </c>
      <c r="G55" s="8" t="inlineStr"/>
      <c r="H55" s="4" t="inlineStr">
        <is>
          <t>원/대</t>
        </is>
      </c>
      <c r="I55" s="4" t="inlineStr">
        <is>
          <t>지점내방 중형 평균판매가격.</t>
        </is>
      </c>
    </row>
    <row r="56">
      <c r="B56" s="8" t="inlineStr">
        <is>
          <t>br_compact_rev</t>
        </is>
      </c>
      <c r="C56" s="4" t="inlineStr">
        <is>
          <t>지점내방 준중형</t>
        </is>
      </c>
      <c r="D56" s="8" t="inlineStr">
        <is>
          <t>branch_sales</t>
        </is>
      </c>
      <c r="E56" s="4" t="n">
        <v>4</v>
      </c>
      <c r="F56" s="4" t="inlineStr">
        <is>
          <t>computed</t>
        </is>
      </c>
      <c r="G56" s="8" t="inlineStr">
        <is>
          <t>br_compact_volume * br_compact_asp</t>
        </is>
      </c>
      <c r="H56" s="4" t="inlineStr">
        <is>
          <t>원</t>
        </is>
      </c>
      <c r="I56" s="4" t="inlineStr">
        <is>
          <t>지점내방 준중형 매출 = 판매대수 × 평균판매가격.</t>
        </is>
      </c>
    </row>
    <row r="57">
      <c r="B57" s="8" t="inlineStr">
        <is>
          <t>br_compact_share</t>
        </is>
      </c>
      <c r="C57" s="4" t="inlineStr">
        <is>
          <t>지점내방 준중형 점유율</t>
        </is>
      </c>
      <c r="D57" s="8" t="inlineStr">
        <is>
          <t>br_compact_rev</t>
        </is>
      </c>
      <c r="E57" s="4" t="n">
        <v>5</v>
      </c>
      <c r="F57" s="4" t="inlineStr">
        <is>
          <t>input</t>
        </is>
      </c>
      <c r="G57" s="8" t="inlineStr"/>
      <c r="H57" s="4" t="inlineStr">
        <is>
          <t>%</t>
        </is>
      </c>
      <c r="I57" s="4" t="inlineStr">
        <is>
          <t>해당 차급 시장에서 케이카 지점내방 채널이 확보하는 비율.</t>
        </is>
      </c>
    </row>
    <row r="58">
      <c r="B58" s="8" t="inlineStr">
        <is>
          <t>br_compact_volume</t>
        </is>
      </c>
      <c r="C58" s="4" t="inlineStr">
        <is>
          <t>지점내방 준중형 판매대수</t>
        </is>
      </c>
      <c r="D58" s="8" t="inlineStr">
        <is>
          <t>br_compact_rev</t>
        </is>
      </c>
      <c r="E58" s="4" t="n">
        <v>5</v>
      </c>
      <c r="F58" s="4" t="inlineStr">
        <is>
          <t>computed</t>
        </is>
      </c>
      <c r="G58" s="8" t="inlineStr">
        <is>
          <t>market_compact * br_compact_share</t>
        </is>
      </c>
      <c r="H58" s="4" t="inlineStr">
        <is>
          <t>대</t>
        </is>
      </c>
      <c r="I58" s="4" t="inlineStr">
        <is>
          <t>지점내방 준중형 판매대수 = 시장판매대수 × 점유율.</t>
        </is>
      </c>
    </row>
    <row r="59">
      <c r="B59" s="8" t="inlineStr">
        <is>
          <t>br_compact_asp</t>
        </is>
      </c>
      <c r="C59" s="4" t="inlineStr">
        <is>
          <t>지점내방 준중형 ASP</t>
        </is>
      </c>
      <c r="D59" s="8" t="inlineStr">
        <is>
          <t>br_compact_rev</t>
        </is>
      </c>
      <c r="E59" s="4" t="n">
        <v>5</v>
      </c>
      <c r="F59" s="4" t="inlineStr">
        <is>
          <t>input</t>
        </is>
      </c>
      <c r="G59" s="8" t="inlineStr"/>
      <c r="H59" s="4" t="inlineStr">
        <is>
          <t>원/대</t>
        </is>
      </c>
      <c r="I59" s="4" t="inlineStr">
        <is>
          <t>지점내방 준중형 평균판매가격.</t>
        </is>
      </c>
    </row>
    <row r="60">
      <c r="B60" s="8" t="inlineStr">
        <is>
          <t>br_small_rev</t>
        </is>
      </c>
      <c r="C60" s="4" t="inlineStr">
        <is>
          <t>지점내방 소형</t>
        </is>
      </c>
      <c r="D60" s="8" t="inlineStr">
        <is>
          <t>branch_sales</t>
        </is>
      </c>
      <c r="E60" s="4" t="n">
        <v>4</v>
      </c>
      <c r="F60" s="4" t="inlineStr">
        <is>
          <t>computed</t>
        </is>
      </c>
      <c r="G60" s="8" t="inlineStr">
        <is>
          <t>br_small_volume * br_small_asp</t>
        </is>
      </c>
      <c r="H60" s="4" t="inlineStr">
        <is>
          <t>원</t>
        </is>
      </c>
      <c r="I60" s="4" t="inlineStr">
        <is>
          <t>지점내방 소형 매출 = 판매대수 × 평균판매가격.</t>
        </is>
      </c>
    </row>
    <row r="61">
      <c r="B61" s="8" t="inlineStr">
        <is>
          <t>br_small_share</t>
        </is>
      </c>
      <c r="C61" s="4" t="inlineStr">
        <is>
          <t>지점내방 소형 점유율</t>
        </is>
      </c>
      <c r="D61" s="8" t="inlineStr">
        <is>
          <t>br_small_rev</t>
        </is>
      </c>
      <c r="E61" s="4" t="n">
        <v>5</v>
      </c>
      <c r="F61" s="4" t="inlineStr">
        <is>
          <t>input</t>
        </is>
      </c>
      <c r="G61" s="8" t="inlineStr"/>
      <c r="H61" s="4" t="inlineStr">
        <is>
          <t>%</t>
        </is>
      </c>
      <c r="I61" s="4" t="inlineStr">
        <is>
          <t>해당 차급 시장에서 케이카 지점내방 채널이 확보하는 비율.</t>
        </is>
      </c>
    </row>
    <row r="62">
      <c r="B62" s="8" t="inlineStr">
        <is>
          <t>br_small_volume</t>
        </is>
      </c>
      <c r="C62" s="4" t="inlineStr">
        <is>
          <t>지점내방 소형 판매대수</t>
        </is>
      </c>
      <c r="D62" s="8" t="inlineStr">
        <is>
          <t>br_small_rev</t>
        </is>
      </c>
      <c r="E62" s="4" t="n">
        <v>5</v>
      </c>
      <c r="F62" s="4" t="inlineStr">
        <is>
          <t>computed</t>
        </is>
      </c>
      <c r="G62" s="8" t="inlineStr">
        <is>
          <t>market_small * br_small_share</t>
        </is>
      </c>
      <c r="H62" s="4" t="inlineStr">
        <is>
          <t>대</t>
        </is>
      </c>
      <c r="I62" s="4" t="inlineStr">
        <is>
          <t>지점내방 소형 판매대수 = 시장판매대수 × 점유율.</t>
        </is>
      </c>
    </row>
    <row r="63">
      <c r="B63" s="8" t="inlineStr">
        <is>
          <t>br_small_asp</t>
        </is>
      </c>
      <c r="C63" s="4" t="inlineStr">
        <is>
          <t>지점내방 소형 ASP</t>
        </is>
      </c>
      <c r="D63" s="8" t="inlineStr">
        <is>
          <t>br_small_rev</t>
        </is>
      </c>
      <c r="E63" s="4" t="n">
        <v>5</v>
      </c>
      <c r="F63" s="4" t="inlineStr">
        <is>
          <t>input</t>
        </is>
      </c>
      <c r="G63" s="8" t="inlineStr"/>
      <c r="H63" s="4" t="inlineStr">
        <is>
          <t>원/대</t>
        </is>
      </c>
      <c r="I63" s="4" t="inlineStr">
        <is>
          <t>지점내방 소형 평균판매가격.</t>
        </is>
      </c>
    </row>
    <row r="64">
      <c r="B64" s="8" t="inlineStr">
        <is>
          <t>br_truck_rev</t>
        </is>
      </c>
      <c r="C64" s="4" t="inlineStr">
        <is>
          <t>지점내방 화물차</t>
        </is>
      </c>
      <c r="D64" s="8" t="inlineStr">
        <is>
          <t>branch_sales</t>
        </is>
      </c>
      <c r="E64" s="4" t="n">
        <v>4</v>
      </c>
      <c r="F64" s="4" t="inlineStr">
        <is>
          <t>computed</t>
        </is>
      </c>
      <c r="G64" s="8" t="inlineStr">
        <is>
          <t>br_truck_volume * br_truck_asp</t>
        </is>
      </c>
      <c r="H64" s="4" t="inlineStr">
        <is>
          <t>원</t>
        </is>
      </c>
      <c r="I64" s="4" t="inlineStr">
        <is>
          <t>지점내방 화물차 매출 = 판매대수 × 평균판매가격.</t>
        </is>
      </c>
    </row>
    <row r="65">
      <c r="B65" s="8" t="inlineStr">
        <is>
          <t>br_truck_share</t>
        </is>
      </c>
      <c r="C65" s="4" t="inlineStr">
        <is>
          <t>지점내방 화물차 점유율</t>
        </is>
      </c>
      <c r="D65" s="8" t="inlineStr">
        <is>
          <t>br_truck_rev</t>
        </is>
      </c>
      <c r="E65" s="4" t="n">
        <v>5</v>
      </c>
      <c r="F65" s="4" t="inlineStr">
        <is>
          <t>input</t>
        </is>
      </c>
      <c r="G65" s="8" t="inlineStr"/>
      <c r="H65" s="4" t="inlineStr">
        <is>
          <t>%</t>
        </is>
      </c>
      <c r="I65" s="4" t="inlineStr">
        <is>
          <t>해당 차급 시장에서 케이카 지점내방 채널이 확보하는 비율.</t>
        </is>
      </c>
    </row>
    <row r="66">
      <c r="B66" s="8" t="inlineStr">
        <is>
          <t>br_truck_volume</t>
        </is>
      </c>
      <c r="C66" s="4" t="inlineStr">
        <is>
          <t>지점내방 화물차 판매대수</t>
        </is>
      </c>
      <c r="D66" s="8" t="inlineStr">
        <is>
          <t>br_truck_rev</t>
        </is>
      </c>
      <c r="E66" s="4" t="n">
        <v>5</v>
      </c>
      <c r="F66" s="4" t="inlineStr">
        <is>
          <t>computed</t>
        </is>
      </c>
      <c r="G66" s="8" t="inlineStr">
        <is>
          <t>market_truck * br_truck_share</t>
        </is>
      </c>
      <c r="H66" s="4" t="inlineStr">
        <is>
          <t>대</t>
        </is>
      </c>
      <c r="I66" s="4" t="inlineStr">
        <is>
          <t>지점내방 화물차 판매대수 = 시장판매대수 × 점유율.</t>
        </is>
      </c>
    </row>
    <row r="67">
      <c r="B67" s="8" t="inlineStr">
        <is>
          <t>br_truck_asp</t>
        </is>
      </c>
      <c r="C67" s="4" t="inlineStr">
        <is>
          <t>지점내방 화물차 ASP</t>
        </is>
      </c>
      <c r="D67" s="8" t="inlineStr">
        <is>
          <t>br_truck_rev</t>
        </is>
      </c>
      <c r="E67" s="4" t="n">
        <v>5</v>
      </c>
      <c r="F67" s="4" t="inlineStr">
        <is>
          <t>input</t>
        </is>
      </c>
      <c r="G67" s="8" t="inlineStr"/>
      <c r="H67" s="4" t="inlineStr">
        <is>
          <t>원/대</t>
        </is>
      </c>
      <c r="I67" s="4" t="inlineStr">
        <is>
          <t>지점내방 화물차 평균판매가격.</t>
        </is>
      </c>
    </row>
    <row r="68">
      <c r="B68" s="8" t="inlineStr">
        <is>
          <t>br_other_rev</t>
        </is>
      </c>
      <c r="C68" s="4" t="inlineStr">
        <is>
          <t>지점내방 기타</t>
        </is>
      </c>
      <c r="D68" s="8" t="inlineStr">
        <is>
          <t>branch_sales</t>
        </is>
      </c>
      <c r="E68" s="4" t="n">
        <v>4</v>
      </c>
      <c r="F68" s="4" t="inlineStr">
        <is>
          <t>computed</t>
        </is>
      </c>
      <c r="G68" s="8" t="inlineStr">
        <is>
          <t>br_other_volume * br_other_asp</t>
        </is>
      </c>
      <c r="H68" s="4" t="inlineStr">
        <is>
          <t>원</t>
        </is>
      </c>
      <c r="I68" s="4" t="inlineStr">
        <is>
          <t>지점내방 기타 매출 = 판매대수 × 평균판매가격.</t>
        </is>
      </c>
    </row>
    <row r="69">
      <c r="B69" s="8" t="inlineStr">
        <is>
          <t>br_other_share</t>
        </is>
      </c>
      <c r="C69" s="4" t="inlineStr">
        <is>
          <t>지점내방 기타 점유율</t>
        </is>
      </c>
      <c r="D69" s="8" t="inlineStr">
        <is>
          <t>br_other_rev</t>
        </is>
      </c>
      <c r="E69" s="4" t="n">
        <v>5</v>
      </c>
      <c r="F69" s="4" t="inlineStr">
        <is>
          <t>input</t>
        </is>
      </c>
      <c r="G69" s="8" t="inlineStr"/>
      <c r="H69" s="4" t="inlineStr">
        <is>
          <t>%</t>
        </is>
      </c>
      <c r="I69" s="4" t="inlineStr">
        <is>
          <t>해당 차급 시장에서 케이카 지점내방 채널이 확보하는 비율.</t>
        </is>
      </c>
    </row>
    <row r="70">
      <c r="B70" s="8" t="inlineStr">
        <is>
          <t>br_other_volume</t>
        </is>
      </c>
      <c r="C70" s="4" t="inlineStr">
        <is>
          <t>지점내방 기타 판매대수</t>
        </is>
      </c>
      <c r="D70" s="8" t="inlineStr">
        <is>
          <t>br_other_rev</t>
        </is>
      </c>
      <c r="E70" s="4" t="n">
        <v>5</v>
      </c>
      <c r="F70" s="4" t="inlineStr">
        <is>
          <t>computed</t>
        </is>
      </c>
      <c r="G70" s="8" t="inlineStr">
        <is>
          <t>market_other * br_other_share</t>
        </is>
      </c>
      <c r="H70" s="4" t="inlineStr">
        <is>
          <t>대</t>
        </is>
      </c>
      <c r="I70" s="4" t="inlineStr">
        <is>
          <t>지점내방 기타 판매대수 = 시장판매대수 × 점유율.</t>
        </is>
      </c>
    </row>
    <row r="71">
      <c r="B71" s="8" t="inlineStr">
        <is>
          <t>br_other_asp</t>
        </is>
      </c>
      <c r="C71" s="4" t="inlineStr">
        <is>
          <t>지점내방 기타 ASP</t>
        </is>
      </c>
      <c r="D71" s="8" t="inlineStr">
        <is>
          <t>br_other_rev</t>
        </is>
      </c>
      <c r="E71" s="4" t="n">
        <v>5</v>
      </c>
      <c r="F71" s="4" t="inlineStr">
        <is>
          <t>input</t>
        </is>
      </c>
      <c r="G71" s="8" t="inlineStr"/>
      <c r="H71" s="4" t="inlineStr">
        <is>
          <t>원/대</t>
        </is>
      </c>
      <c r="I71" s="4" t="inlineStr">
        <is>
          <t>지점내방 기타 평균판매가격.</t>
        </is>
      </c>
    </row>
    <row r="72">
      <c r="B72" s="8" t="inlineStr">
        <is>
          <t>used_car_volume</t>
        </is>
      </c>
      <c r="C72" s="4" t="inlineStr">
        <is>
          <t>중고차 판매대수</t>
        </is>
      </c>
      <c r="D72" s="8" t="inlineStr">
        <is>
          <t>used_car_sales</t>
        </is>
      </c>
      <c r="E72" s="4" t="n">
        <v>3</v>
      </c>
      <c r="F72" s="4" t="inlineStr">
        <is>
          <t>computed</t>
        </is>
      </c>
      <c r="G72" s="8" t="inlineStr">
        <is>
          <t>SUM(ec_suv_volume, ec_large_volume, ec_midsize_volume, ec_compact_volume, ec_small_volume, ec_truck_volume, ec_other_volume, br_suv_volume, br_large_volume, br_midsize_volume, br_compact_volume, br_small_volume, br_truck_volume, br_other_volume)</t>
        </is>
      </c>
      <c r="H72" s="4" t="inlineStr">
        <is>
          <t>대</t>
        </is>
      </c>
      <c r="I72" s="4" t="inlineStr">
        <is>
          <t>매출과 비용이 공유하는 핵심 수량 드라이버.</t>
        </is>
      </c>
    </row>
    <row r="73">
      <c r="B73" s="8" t="inlineStr">
        <is>
          <t>auction_sales</t>
        </is>
      </c>
      <c r="C73" s="4" t="inlineStr">
        <is>
          <t>경매 매출</t>
        </is>
      </c>
      <c r="D73" s="8" t="inlineStr">
        <is>
          <t>rev</t>
        </is>
      </c>
      <c r="E73" s="4" t="n">
        <v>2</v>
      </c>
      <c r="F73" s="4" t="inlineStr">
        <is>
          <t>computed</t>
        </is>
      </c>
      <c r="G73" s="8" t="inlineStr">
        <is>
          <t>auction_product_sales + auction_service_sales</t>
        </is>
      </c>
      <c r="H73" s="4" t="inlineStr">
        <is>
          <t>원</t>
        </is>
      </c>
      <c r="I73" s="4" t="inlineStr">
        <is>
          <t>경매 상품 매출과 경매 용역 매출. 실습 모델에서는 성장률 기반 입력으로 단순화.</t>
        </is>
      </c>
    </row>
    <row r="74">
      <c r="B74" s="8" t="inlineStr">
        <is>
          <t>auction_product_sales</t>
        </is>
      </c>
      <c r="C74" s="4" t="inlineStr">
        <is>
          <t>경매 상품 매출</t>
        </is>
      </c>
      <c r="D74" s="8" t="inlineStr">
        <is>
          <t>auction_sales</t>
        </is>
      </c>
      <c r="E74" s="4" t="n">
        <v>3</v>
      </c>
      <c r="F74" s="4" t="inlineStr">
        <is>
          <t>input</t>
        </is>
      </c>
      <c r="G74" s="8" t="inlineStr"/>
      <c r="H74" s="4" t="inlineStr">
        <is>
          <t>원</t>
        </is>
      </c>
      <c r="I74" s="4" t="inlineStr">
        <is>
          <t>경매 상품 매출 가정.</t>
        </is>
      </c>
    </row>
    <row r="75">
      <c r="B75" s="8" t="inlineStr">
        <is>
          <t>auction_service_sales</t>
        </is>
      </c>
      <c r="C75" s="4" t="inlineStr">
        <is>
          <t>경매 용역 매출</t>
        </is>
      </c>
      <c r="D75" s="8" t="inlineStr">
        <is>
          <t>auction_sales</t>
        </is>
      </c>
      <c r="E75" s="4" t="n">
        <v>3</v>
      </c>
      <c r="F75" s="4" t="inlineStr">
        <is>
          <t>input</t>
        </is>
      </c>
      <c r="G75" s="8" t="inlineStr"/>
      <c r="H75" s="4" t="inlineStr">
        <is>
          <t>원</t>
        </is>
      </c>
      <c r="I75" s="4" t="inlineStr">
        <is>
          <t>경매 용역 매출 가정.</t>
        </is>
      </c>
    </row>
    <row r="76">
      <c r="B76" s="8" t="inlineStr">
        <is>
          <t>rental_sales</t>
        </is>
      </c>
      <c r="C76" s="4" t="inlineStr">
        <is>
          <t>렌터카 매출</t>
        </is>
      </c>
      <c r="D76" s="8" t="inlineStr">
        <is>
          <t>rev</t>
        </is>
      </c>
      <c r="E76" s="4" t="n">
        <v>2</v>
      </c>
      <c r="F76" s="4" t="inlineStr">
        <is>
          <t>computed</t>
        </is>
      </c>
      <c r="G76" s="8" t="inlineStr">
        <is>
          <t>rental_disposal_sales + longterm_rental_sales</t>
        </is>
      </c>
      <c r="H76" s="4" t="inlineStr">
        <is>
          <t>원</t>
        </is>
      </c>
      <c r="I76" s="4" t="inlineStr">
        <is>
          <t>렌터카 매각 매출과 장기렌트 매출.</t>
        </is>
      </c>
    </row>
    <row r="77">
      <c r="B77" s="8" t="inlineStr">
        <is>
          <t>rental_disposal_sales</t>
        </is>
      </c>
      <c r="C77" s="4" t="inlineStr">
        <is>
          <t>렌터카 매각 매출</t>
        </is>
      </c>
      <c r="D77" s="8" t="inlineStr">
        <is>
          <t>rental_sales</t>
        </is>
      </c>
      <c r="E77" s="4" t="n">
        <v>3</v>
      </c>
      <c r="F77" s="4" t="inlineStr">
        <is>
          <t>input</t>
        </is>
      </c>
      <c r="G77" s="8" t="inlineStr"/>
      <c r="H77" s="4" t="inlineStr">
        <is>
          <t>원</t>
        </is>
      </c>
      <c r="I77" s="4" t="inlineStr">
        <is>
          <t>렌터카 매각 매출 가정.</t>
        </is>
      </c>
    </row>
    <row r="78">
      <c r="B78" s="8" t="inlineStr">
        <is>
          <t>longterm_rental_sales</t>
        </is>
      </c>
      <c r="C78" s="4" t="inlineStr">
        <is>
          <t>장기렌트 매출</t>
        </is>
      </c>
      <c r="D78" s="8" t="inlineStr">
        <is>
          <t>rental_sales</t>
        </is>
      </c>
      <c r="E78" s="4" t="n">
        <v>3</v>
      </c>
      <c r="F78" s="4" t="inlineStr">
        <is>
          <t>input</t>
        </is>
      </c>
      <c r="G78" s="8" t="inlineStr"/>
      <c r="H78" s="4" t="inlineStr">
        <is>
          <t>원</t>
        </is>
      </c>
      <c r="I78" s="4" t="inlineStr">
        <is>
          <t>장기렌트 매출 가정.</t>
        </is>
      </c>
    </row>
    <row r="79">
      <c r="B79" s="8" t="inlineStr">
        <is>
          <t>service_other_sales</t>
        </is>
      </c>
      <c r="C79" s="4" t="inlineStr">
        <is>
          <t>용역 / 기타 매출</t>
        </is>
      </c>
      <c r="D79" s="8" t="inlineStr">
        <is>
          <t>rev</t>
        </is>
      </c>
      <c r="E79" s="4" t="n">
        <v>2</v>
      </c>
      <c r="F79" s="4" t="inlineStr">
        <is>
          <t>computed</t>
        </is>
      </c>
      <c r="G79" s="8" t="inlineStr">
        <is>
          <t>ecommerce_service_sales + branch_service_sales + other_sales</t>
        </is>
      </c>
      <c r="H79" s="4" t="inlineStr">
        <is>
          <t>원</t>
        </is>
      </c>
      <c r="I79" s="4" t="inlineStr">
        <is>
          <t>이커머스/지점내방 용역 매출은 각 채널 중고차 매출 대비 비율로 계산.</t>
        </is>
      </c>
    </row>
    <row r="80">
      <c r="B80" s="8" t="inlineStr">
        <is>
          <t>ecommerce_service_sales</t>
        </is>
      </c>
      <c r="C80" s="4" t="inlineStr">
        <is>
          <t>이커머스 용역 매출</t>
        </is>
      </c>
      <c r="D80" s="8" t="inlineStr">
        <is>
          <t>service_other_sales</t>
        </is>
      </c>
      <c r="E80" s="4" t="n">
        <v>3</v>
      </c>
      <c r="F80" s="4" t="inlineStr">
        <is>
          <t>computed</t>
        </is>
      </c>
      <c r="G80" s="8" t="inlineStr">
        <is>
          <t>ecommerce_sales * ecommerce_service_rate</t>
        </is>
      </c>
      <c r="H80" s="4" t="inlineStr">
        <is>
          <t>원</t>
        </is>
      </c>
      <c r="I80" s="4" t="inlineStr">
        <is>
          <t>이커머스 용역 매출 = 이커머스 중고차 매출 × 용역 매출률.</t>
        </is>
      </c>
    </row>
    <row r="81">
      <c r="B81" s="8" t="inlineStr">
        <is>
          <t>ecommerce_service_rate</t>
        </is>
      </c>
      <c r="C81" s="4" t="inlineStr">
        <is>
          <t>이커머스 용역 매출률</t>
        </is>
      </c>
      <c r="D81" s="8" t="inlineStr">
        <is>
          <t>ecommerce_service_sales</t>
        </is>
      </c>
      <c r="E81" s="4" t="n">
        <v>4</v>
      </c>
      <c r="F81" s="4" t="inlineStr">
        <is>
          <t>input</t>
        </is>
      </c>
      <c r="G81" s="8" t="inlineStr"/>
      <c r="H81" s="4" t="inlineStr">
        <is>
          <t>%</t>
        </is>
      </c>
      <c r="I81" s="4" t="inlineStr">
        <is>
          <t>이커머스 중고차 매출 대비 용역 매출 비율.</t>
        </is>
      </c>
    </row>
    <row r="82">
      <c r="B82" s="8" t="inlineStr">
        <is>
          <t>branch_service_sales</t>
        </is>
      </c>
      <c r="C82" s="4" t="inlineStr">
        <is>
          <t>지점내방 용역 매출</t>
        </is>
      </c>
      <c r="D82" s="8" t="inlineStr">
        <is>
          <t>service_other_sales</t>
        </is>
      </c>
      <c r="E82" s="4" t="n">
        <v>3</v>
      </c>
      <c r="F82" s="4" t="inlineStr">
        <is>
          <t>computed</t>
        </is>
      </c>
      <c r="G82" s="8" t="inlineStr">
        <is>
          <t>branch_sales * branch_service_rate</t>
        </is>
      </c>
      <c r="H82" s="4" t="inlineStr">
        <is>
          <t>원</t>
        </is>
      </c>
      <c r="I82" s="4" t="inlineStr">
        <is>
          <t>지점내방 용역 매출 = 지점내방 중고차 매출 × 용역 매출률.</t>
        </is>
      </c>
    </row>
    <row r="83">
      <c r="B83" s="8" t="inlineStr">
        <is>
          <t>branch_service_rate</t>
        </is>
      </c>
      <c r="C83" s="4" t="inlineStr">
        <is>
          <t>지점내방 용역 매출률</t>
        </is>
      </c>
      <c r="D83" s="8" t="inlineStr">
        <is>
          <t>branch_service_sales</t>
        </is>
      </c>
      <c r="E83" s="4" t="n">
        <v>4</v>
      </c>
      <c r="F83" s="4" t="inlineStr">
        <is>
          <t>input</t>
        </is>
      </c>
      <c r="G83" s="8" t="inlineStr"/>
      <c r="H83" s="4" t="inlineStr">
        <is>
          <t>%</t>
        </is>
      </c>
      <c r="I83" s="4" t="inlineStr">
        <is>
          <t>지점내방 중고차 매출 대비 용역 매출 비율.</t>
        </is>
      </c>
    </row>
    <row r="84">
      <c r="B84" s="8" t="inlineStr">
        <is>
          <t>other_sales</t>
        </is>
      </c>
      <c r="C84" s="4" t="inlineStr">
        <is>
          <t>기타 매출</t>
        </is>
      </c>
      <c r="D84" s="8" t="inlineStr">
        <is>
          <t>service_other_sales</t>
        </is>
      </c>
      <c r="E84" s="4" t="n">
        <v>3</v>
      </c>
      <c r="F84" s="4" t="inlineStr">
        <is>
          <t>input</t>
        </is>
      </c>
      <c r="G84" s="8" t="inlineStr"/>
      <c r="H84" s="4" t="inlineStr">
        <is>
          <t>원</t>
        </is>
      </c>
      <c r="I84" s="4" t="inlineStr">
        <is>
          <t>기타 부가 매출 가정.</t>
        </is>
      </c>
    </row>
    <row r="85">
      <c r="B85" s="8" t="inlineStr">
        <is>
          <t>total_cost</t>
        </is>
      </c>
      <c r="C85" s="4" t="inlineStr">
        <is>
          <t>비용 합계</t>
        </is>
      </c>
      <c r="D85" s="8" t="inlineStr">
        <is>
          <t>root</t>
        </is>
      </c>
      <c r="E85" s="4" t="n">
        <v>1</v>
      </c>
      <c r="F85" s="4" t="inlineStr">
        <is>
          <t>computed</t>
        </is>
      </c>
      <c r="G85" s="8" t="inlineStr">
        <is>
          <t>SUM(inventory_cost, warranty_cost, rental_car_cost, variable_sga, fixed_sga, labor_cost, da)</t>
        </is>
      </c>
      <c r="H85" s="4" t="inlineStr">
        <is>
          <t>원</t>
        </is>
      </c>
      <c r="I85" s="4" t="inlineStr">
        <is>
          <t>총비용. 중고차 판매대수와 매출을 공유 드라이버로 사용.</t>
        </is>
      </c>
    </row>
    <row r="86">
      <c r="B86" s="8" t="inlineStr">
        <is>
          <t>inventory_cost</t>
        </is>
      </c>
      <c r="C86" s="4" t="inlineStr">
        <is>
          <t>재고자산원가</t>
        </is>
      </c>
      <c r="D86" s="8" t="inlineStr">
        <is>
          <t>total_cost</t>
        </is>
      </c>
      <c r="E86" s="4" t="n">
        <v>2</v>
      </c>
      <c r="F86" s="4" t="inlineStr">
        <is>
          <t>computed</t>
        </is>
      </c>
      <c r="G86" s="8" t="inlineStr">
        <is>
          <t>used_car_volume * unit_inventory_cost</t>
        </is>
      </c>
      <c r="H86" s="4" t="inlineStr">
        <is>
          <t>원</t>
        </is>
      </c>
      <c r="I86" s="4" t="inlineStr">
        <is>
          <t>중고차 판매의 핵심 원가. 판매대수와 직접 연결.</t>
        </is>
      </c>
    </row>
    <row r="87">
      <c r="B87" s="8" t="inlineStr">
        <is>
          <t>unit_inventory_cost</t>
        </is>
      </c>
      <c r="C87" s="4" t="inlineStr">
        <is>
          <t>중고차 1대당 원가</t>
        </is>
      </c>
      <c r="D87" s="8" t="inlineStr">
        <is>
          <t>inventory_cost</t>
        </is>
      </c>
      <c r="E87" s="4" t="n">
        <v>3</v>
      </c>
      <c r="F87" s="4" t="inlineStr">
        <is>
          <t>input</t>
        </is>
      </c>
      <c r="G87" s="8" t="inlineStr"/>
      <c r="H87" s="4" t="inlineStr">
        <is>
          <t>원/대</t>
        </is>
      </c>
      <c r="I87" s="4" t="inlineStr">
        <is>
          <t>중고차 1대당 매입/상품화 원가.</t>
        </is>
      </c>
    </row>
    <row r="88">
      <c r="B88" s="8" t="inlineStr">
        <is>
          <t>warranty_cost</t>
        </is>
      </c>
      <c r="C88" s="4" t="inlineStr">
        <is>
          <t>판매보증비</t>
        </is>
      </c>
      <c r="D88" s="8" t="inlineStr">
        <is>
          <t>total_cost</t>
        </is>
      </c>
      <c r="E88" s="4" t="n">
        <v>2</v>
      </c>
      <c r="F88" s="4" t="inlineStr">
        <is>
          <t>computed</t>
        </is>
      </c>
      <c r="G88" s="8" t="inlineStr">
        <is>
          <t>used_car_volume * warranty_cost_per_unit</t>
        </is>
      </c>
      <c r="H88" s="4" t="inlineStr">
        <is>
          <t>원</t>
        </is>
      </c>
      <c r="I88" s="4" t="inlineStr">
        <is>
          <t>판매 차량에 붙는 보증 관련 비용.</t>
        </is>
      </c>
    </row>
    <row r="89">
      <c r="B89" s="8" t="inlineStr">
        <is>
          <t>warranty_cost_per_unit</t>
        </is>
      </c>
      <c r="C89" s="4" t="inlineStr">
        <is>
          <t>대당 보증비</t>
        </is>
      </c>
      <c r="D89" s="8" t="inlineStr">
        <is>
          <t>warranty_cost</t>
        </is>
      </c>
      <c r="E89" s="4" t="n">
        <v>3</v>
      </c>
      <c r="F89" s="4" t="inlineStr">
        <is>
          <t>input</t>
        </is>
      </c>
      <c r="G89" s="8" t="inlineStr"/>
      <c r="H89" s="4" t="inlineStr">
        <is>
          <t>원/대</t>
        </is>
      </c>
      <c r="I89" s="4" t="inlineStr">
        <is>
          <t>중고차 1대당 보증 관련 비용.</t>
        </is>
      </c>
    </row>
    <row r="90">
      <c r="B90" s="8" t="inlineStr">
        <is>
          <t>rental_car_cost</t>
        </is>
      </c>
      <c r="C90" s="4" t="inlineStr">
        <is>
          <t>차량매각원가</t>
        </is>
      </c>
      <c r="D90" s="8" t="inlineStr">
        <is>
          <t>total_cost</t>
        </is>
      </c>
      <c r="E90" s="4" t="n">
        <v>2</v>
      </c>
      <c r="F90" s="4" t="inlineStr">
        <is>
          <t>computed</t>
        </is>
      </c>
      <c r="G90" s="8" t="inlineStr">
        <is>
          <t>rental_disposal_sales * rental_disposal_cost_rate</t>
        </is>
      </c>
      <c r="H90" s="4" t="inlineStr">
        <is>
          <t>원</t>
        </is>
      </c>
      <c r="I90" s="4" t="inlineStr">
        <is>
          <t>렌터카 매각 매출에 대응되는 원가.</t>
        </is>
      </c>
    </row>
    <row r="91">
      <c r="B91" s="8" t="inlineStr">
        <is>
          <t>rental_disposal_cost_rate</t>
        </is>
      </c>
      <c r="C91" s="4" t="inlineStr">
        <is>
          <t>차량매각원가율</t>
        </is>
      </c>
      <c r="D91" s="8" t="inlineStr">
        <is>
          <t>rental_car_cost</t>
        </is>
      </c>
      <c r="E91" s="4" t="n">
        <v>3</v>
      </c>
      <c r="F91" s="4" t="inlineStr">
        <is>
          <t>input</t>
        </is>
      </c>
      <c r="G91" s="8" t="inlineStr"/>
      <c r="H91" s="4" t="inlineStr">
        <is>
          <t>%</t>
        </is>
      </c>
      <c r="I91" s="4" t="inlineStr">
        <is>
          <t>렌터카 매각 매출 대비 원가율.</t>
        </is>
      </c>
    </row>
    <row r="92">
      <c r="B92" s="8" t="inlineStr">
        <is>
          <t>variable_sga</t>
        </is>
      </c>
      <c r="C92" s="4" t="inlineStr">
        <is>
          <t>변동 판관비</t>
        </is>
      </c>
      <c r="D92" s="8" t="inlineStr">
        <is>
          <t>total_cost</t>
        </is>
      </c>
      <c r="E92" s="4" t="n">
        <v>2</v>
      </c>
      <c r="F92" s="4" t="inlineStr">
        <is>
          <t>computed</t>
        </is>
      </c>
      <c r="G92" s="8" t="inlineStr">
        <is>
          <t>rev * variable_sga_rate</t>
        </is>
      </c>
      <c r="H92" s="4" t="inlineStr">
        <is>
          <t>원</t>
        </is>
      </c>
      <c r="I92" s="4" t="inlineStr">
        <is>
          <t>매출 규모에 연동되는 지급수수료, 부품비, 세금과공과 등.</t>
        </is>
      </c>
    </row>
    <row r="93">
      <c r="B93" s="8" t="inlineStr">
        <is>
          <t>variable_sga_rate</t>
        </is>
      </c>
      <c r="C93" s="4" t="inlineStr">
        <is>
          <t>변동 판관비율</t>
        </is>
      </c>
      <c r="D93" s="8" t="inlineStr">
        <is>
          <t>variable_sga</t>
        </is>
      </c>
      <c r="E93" s="4" t="n">
        <v>3</v>
      </c>
      <c r="F93" s="4" t="inlineStr">
        <is>
          <t>input</t>
        </is>
      </c>
      <c r="G93" s="8" t="inlineStr"/>
      <c r="H93" s="4" t="inlineStr">
        <is>
          <t>%</t>
        </is>
      </c>
      <c r="I93" s="4" t="inlineStr">
        <is>
          <t>매출 대비 변동 판관비율.</t>
        </is>
      </c>
    </row>
    <row r="94">
      <c r="B94" s="8" t="inlineStr">
        <is>
          <t>fixed_sga</t>
        </is>
      </c>
      <c r="C94" s="4" t="inlineStr">
        <is>
          <t>고정 판관비</t>
        </is>
      </c>
      <c r="D94" s="8" t="inlineStr">
        <is>
          <t>total_cost</t>
        </is>
      </c>
      <c r="E94" s="4" t="n">
        <v>2</v>
      </c>
      <c r="F94" s="4" t="inlineStr">
        <is>
          <t>input</t>
        </is>
      </c>
      <c r="G94" s="8" t="inlineStr"/>
      <c r="H94" s="4" t="inlineStr">
        <is>
          <t>원</t>
        </is>
      </c>
      <c r="I94" s="4" t="inlineStr">
        <is>
          <t>임차료, 운반비, 차량유지비 등 고정비성 판관비.</t>
        </is>
      </c>
    </row>
    <row r="95">
      <c r="B95" s="8" t="inlineStr">
        <is>
          <t>labor_cost</t>
        </is>
      </c>
      <c r="C95" s="4" t="inlineStr">
        <is>
          <t>인건비</t>
        </is>
      </c>
      <c r="D95" s="8" t="inlineStr">
        <is>
          <t>total_cost</t>
        </is>
      </c>
      <c r="E95" s="4" t="n">
        <v>2</v>
      </c>
      <c r="F95" s="4" t="inlineStr">
        <is>
          <t>computed</t>
        </is>
      </c>
      <c r="G95" s="8" t="inlineStr">
        <is>
          <t>employee_count * avg_salary</t>
        </is>
      </c>
      <c r="H95" s="4" t="inlineStr">
        <is>
          <t>원</t>
        </is>
      </c>
      <c r="I95" s="4" t="inlineStr">
        <is>
          <t>필요 인원 × 평균 급여.</t>
        </is>
      </c>
    </row>
    <row r="96">
      <c r="B96" s="8" t="inlineStr">
        <is>
          <t>employee_count</t>
        </is>
      </c>
      <c r="C96" s="4" t="inlineStr">
        <is>
          <t>필요 인원</t>
        </is>
      </c>
      <c r="D96" s="8" t="inlineStr">
        <is>
          <t>labor_cost</t>
        </is>
      </c>
      <c r="E96" s="4" t="n">
        <v>3</v>
      </c>
      <c r="F96" s="4" t="inlineStr">
        <is>
          <t>input</t>
        </is>
      </c>
      <c r="G96" s="8" t="inlineStr"/>
      <c r="H96" s="4" t="inlineStr">
        <is>
          <t>명</t>
        </is>
      </c>
      <c r="I96" s="4" t="inlineStr">
        <is>
          <t>중고차 판매, 경매, 렌탈, 사무/IT/마케팅 인력.</t>
        </is>
      </c>
    </row>
    <row r="97">
      <c r="B97" s="8" t="inlineStr">
        <is>
          <t>avg_salary</t>
        </is>
      </c>
      <c r="C97" s="4" t="inlineStr">
        <is>
          <t>평균 급여</t>
        </is>
      </c>
      <c r="D97" s="8" t="inlineStr">
        <is>
          <t>labor_cost</t>
        </is>
      </c>
      <c r="E97" s="4" t="n">
        <v>3</v>
      </c>
      <c r="F97" s="4" t="inlineStr">
        <is>
          <t>input</t>
        </is>
      </c>
      <c r="G97" s="8" t="inlineStr"/>
      <c r="H97" s="4" t="inlineStr">
        <is>
          <t>원/명</t>
        </is>
      </c>
      <c r="I97" s="4" t="inlineStr">
        <is>
          <t>1인당 평균 연간 급여.</t>
        </is>
      </c>
    </row>
    <row r="98">
      <c r="B98" s="8" t="inlineStr">
        <is>
          <t>da</t>
        </is>
      </c>
      <c r="C98" s="4" t="inlineStr">
        <is>
          <t>감가상각비</t>
        </is>
      </c>
      <c r="D98" s="8" t="inlineStr">
        <is>
          <t>total_cost</t>
        </is>
      </c>
      <c r="E98" s="4" t="n">
        <v>2</v>
      </c>
      <c r="F98" s="4" t="inlineStr">
        <is>
          <t>input</t>
        </is>
      </c>
      <c r="G98" s="8" t="inlineStr"/>
      <c r="H98" s="4" t="inlineStr">
        <is>
          <t>원</t>
        </is>
      </c>
      <c r="I98" s="4" t="inlineStr">
        <is>
          <t>CapEx와 기존 유형자산에서 발생하는 감가상각비.</t>
        </is>
      </c>
    </row>
    <row r="99">
      <c r="B99" s="8" t="inlineStr">
        <is>
          <t>op_profit</t>
        </is>
      </c>
      <c r="C99" s="4" t="inlineStr">
        <is>
          <t>영업이익</t>
        </is>
      </c>
      <c r="D99" s="8" t="inlineStr">
        <is>
          <t>root</t>
        </is>
      </c>
      <c r="E99" s="4" t="n">
        <v>1</v>
      </c>
      <c r="F99" s="4" t="inlineStr">
        <is>
          <t>computed</t>
        </is>
      </c>
      <c r="G99" s="8" t="inlineStr">
        <is>
          <t>rev - total_cost</t>
        </is>
      </c>
      <c r="H99" s="4" t="inlineStr">
        <is>
          <t>원</t>
        </is>
      </c>
      <c r="I99" s="4" t="inlineStr">
        <is>
          <t>영업이익 = 매출 합계 − 비용 합계.</t>
        </is>
      </c>
    </row>
    <row r="100">
      <c r="B100" s="8" t="inlineStr">
        <is>
          <t>fcff</t>
        </is>
      </c>
      <c r="C100" s="4" t="inlineStr">
        <is>
          <t>FCFF</t>
        </is>
      </c>
      <c r="D100" s="8" t="inlineStr">
        <is>
          <t>root</t>
        </is>
      </c>
      <c r="E100" s="4" t="n">
        <v>1</v>
      </c>
      <c r="F100" s="4" t="inlineStr">
        <is>
          <t>computed</t>
        </is>
      </c>
      <c r="G100" s="8" t="inlineStr">
        <is>
          <t>ebiat + da - capex - change_nwc</t>
        </is>
      </c>
      <c r="H100" s="4" t="inlineStr">
        <is>
          <t>원</t>
        </is>
      </c>
      <c r="I100" s="4" t="inlineStr">
        <is>
          <t>기업가치 산정에 사용하는 단순 FCFF.</t>
        </is>
      </c>
    </row>
    <row r="101">
      <c r="B101" s="8" t="inlineStr">
        <is>
          <t>tax</t>
        </is>
      </c>
      <c r="C101" s="4" t="inlineStr">
        <is>
          <t>법인세</t>
        </is>
      </c>
      <c r="D101" s="8" t="inlineStr">
        <is>
          <t>fcff</t>
        </is>
      </c>
      <c r="E101" s="4" t="n">
        <v>2</v>
      </c>
      <c r="F101" s="4" t="inlineStr">
        <is>
          <t>computed</t>
        </is>
      </c>
      <c r="G101" s="8" t="inlineStr">
        <is>
          <t>MAX(op_profit, 0) * tax_rate</t>
        </is>
      </c>
      <c r="H101" s="4" t="inlineStr">
        <is>
          <t>원</t>
        </is>
      </c>
      <c r="I101" s="4" t="inlineStr">
        <is>
          <t>영업이익이 양수일 때 적용하는 단순 법인세.</t>
        </is>
      </c>
    </row>
    <row r="102">
      <c r="B102" s="8" t="inlineStr">
        <is>
          <t>tax_rate</t>
        </is>
      </c>
      <c r="C102" s="4" t="inlineStr">
        <is>
          <t>법인세율</t>
        </is>
      </c>
      <c r="D102" s="8" t="inlineStr">
        <is>
          <t>tax</t>
        </is>
      </c>
      <c r="E102" s="4" t="n">
        <v>3</v>
      </c>
      <c r="F102" s="4" t="inlineStr">
        <is>
          <t>input</t>
        </is>
      </c>
      <c r="G102" s="8" t="inlineStr"/>
      <c r="H102" s="4" t="inlineStr">
        <is>
          <t>%</t>
        </is>
      </c>
      <c r="I102" s="4" t="inlineStr">
        <is>
          <t>단순 실습용 법인세율.</t>
        </is>
      </c>
    </row>
    <row r="103">
      <c r="B103" s="8" t="inlineStr">
        <is>
          <t>ebiat</t>
        </is>
      </c>
      <c r="C103" s="4" t="inlineStr">
        <is>
          <t>세후영업이익</t>
        </is>
      </c>
      <c r="D103" s="8" t="inlineStr">
        <is>
          <t>fcff</t>
        </is>
      </c>
      <c r="E103" s="4" t="n">
        <v>2</v>
      </c>
      <c r="F103" s="4" t="inlineStr">
        <is>
          <t>computed</t>
        </is>
      </c>
      <c r="G103" s="8" t="inlineStr">
        <is>
          <t>op_profit - tax</t>
        </is>
      </c>
      <c r="H103" s="4" t="inlineStr">
        <is>
          <t>원</t>
        </is>
      </c>
      <c r="I103" s="4" t="inlineStr">
        <is>
          <t>EBIAT = 영업이익 − 법인세.</t>
        </is>
      </c>
    </row>
    <row r="104">
      <c r="B104" s="8" t="inlineStr">
        <is>
          <t>nwc</t>
        </is>
      </c>
      <c r="C104" s="4" t="inlineStr">
        <is>
          <t>운전자본</t>
        </is>
      </c>
      <c r="D104" s="8" t="inlineStr">
        <is>
          <t>fcff</t>
        </is>
      </c>
      <c r="E104" s="4" t="n">
        <v>2</v>
      </c>
      <c r="F104" s="4" t="inlineStr">
        <is>
          <t>computed</t>
        </is>
      </c>
      <c r="G104" s="8" t="inlineStr">
        <is>
          <t>rev * nwc_rate</t>
        </is>
      </c>
      <c r="H104" s="4" t="inlineStr">
        <is>
          <t>원</t>
        </is>
      </c>
      <c r="I104" s="4" t="inlineStr">
        <is>
          <t>매출 대비 운전자본 필요액.</t>
        </is>
      </c>
    </row>
    <row r="105">
      <c r="B105" s="8" t="inlineStr">
        <is>
          <t>nwc_rate</t>
        </is>
      </c>
      <c r="C105" s="4" t="inlineStr">
        <is>
          <t>운전자본율</t>
        </is>
      </c>
      <c r="D105" s="8" t="inlineStr">
        <is>
          <t>nwc</t>
        </is>
      </c>
      <c r="E105" s="4" t="n">
        <v>3</v>
      </c>
      <c r="F105" s="4" t="inlineStr">
        <is>
          <t>input</t>
        </is>
      </c>
      <c r="G105" s="8" t="inlineStr"/>
      <c r="H105" s="4" t="inlineStr">
        <is>
          <t>%</t>
        </is>
      </c>
      <c r="I105" s="4" t="inlineStr">
        <is>
          <t>매출 대비 순운전자본 비율.</t>
        </is>
      </c>
    </row>
    <row r="106">
      <c r="B106" s="8" t="inlineStr">
        <is>
          <t>change_nwc</t>
        </is>
      </c>
      <c r="C106" s="4" t="inlineStr">
        <is>
          <t>운전자본 증가</t>
        </is>
      </c>
      <c r="D106" s="8" t="inlineStr">
        <is>
          <t>fcff</t>
        </is>
      </c>
      <c r="E106" s="4" t="n">
        <v>2</v>
      </c>
      <c r="F106" s="4" t="inlineStr">
        <is>
          <t>computed</t>
        </is>
      </c>
      <c r="G106" s="8" t="inlineStr">
        <is>
          <t>nwc - PREV(nwc)</t>
        </is>
      </c>
      <c r="H106" s="4" t="inlineStr">
        <is>
          <t>원</t>
        </is>
      </c>
      <c r="I106" s="4" t="inlineStr">
        <is>
          <t>해당 연도 운전자본 증가분. 첫해는 기준연도 투자액으로 표시.</t>
        </is>
      </c>
    </row>
    <row r="107">
      <c r="B107" s="8" t="inlineStr">
        <is>
          <t>capex</t>
        </is>
      </c>
      <c r="C107" s="4" t="inlineStr">
        <is>
          <t>CapEx</t>
        </is>
      </c>
      <c r="D107" s="8" t="inlineStr">
        <is>
          <t>fcff</t>
        </is>
      </c>
      <c r="E107" s="4" t="n">
        <v>2</v>
      </c>
      <c r="F107" s="4" t="inlineStr">
        <is>
          <t>input</t>
        </is>
      </c>
      <c r="G107" s="8" t="inlineStr"/>
      <c r="H107" s="4" t="inlineStr">
        <is>
          <t>원</t>
        </is>
      </c>
      <c r="I107" s="4" t="inlineStr">
        <is>
          <t>유형자산 투자 및 시스템 투자 가정.</t>
        </is>
      </c>
    </row>
    <row r="108">
      <c r="B108" s="8" t="inlineStr">
        <is>
          <t>valuation</t>
        </is>
      </c>
      <c r="C108" s="4" t="inlineStr">
        <is>
          <t>Valuation</t>
        </is>
      </c>
      <c r="D108" s="8" t="inlineStr">
        <is>
          <t>root</t>
        </is>
      </c>
      <c r="E108" s="4" t="n">
        <v>1</v>
      </c>
      <c r="F108" s="4" t="inlineStr">
        <is>
          <t>computed</t>
        </is>
      </c>
      <c r="G108" s="8" t="inlineStr">
        <is>
          <t>enterprise_value</t>
        </is>
      </c>
      <c r="H108" s="4" t="inlineStr">
        <is>
          <t>원</t>
        </is>
      </c>
      <c r="I108" s="4" t="inlineStr">
        <is>
          <t>FCFF, WACC, Terminal Growth, 순차입금, 주식수를 연결한 DCF 밸류에이션 구조.</t>
        </is>
      </c>
    </row>
    <row r="109">
      <c r="B109" s="8" t="inlineStr">
        <is>
          <t>wacc</t>
        </is>
      </c>
      <c r="C109" s="4" t="inlineStr">
        <is>
          <t>WACC</t>
        </is>
      </c>
      <c r="D109" s="8" t="inlineStr">
        <is>
          <t>valuation</t>
        </is>
      </c>
      <c r="E109" s="4" t="n">
        <v>2</v>
      </c>
      <c r="F109" s="4" t="inlineStr">
        <is>
          <t>input</t>
        </is>
      </c>
      <c r="G109" s="8" t="inlineStr"/>
      <c r="H109" s="4" t="inlineStr">
        <is>
          <t>%</t>
        </is>
      </c>
      <c r="I109" s="4" t="inlineStr">
        <is>
          <t>DCF 할인율.</t>
        </is>
      </c>
    </row>
    <row r="110">
      <c r="B110" s="8" t="inlineStr">
        <is>
          <t>terminal_growth</t>
        </is>
      </c>
      <c r="C110" s="4" t="inlineStr">
        <is>
          <t>Terminal Growth</t>
        </is>
      </c>
      <c r="D110" s="8" t="inlineStr">
        <is>
          <t>valuation</t>
        </is>
      </c>
      <c r="E110" s="4" t="n">
        <v>2</v>
      </c>
      <c r="F110" s="4" t="inlineStr">
        <is>
          <t>input</t>
        </is>
      </c>
      <c r="G110" s="8" t="inlineStr"/>
      <c r="H110" s="4" t="inlineStr">
        <is>
          <t>%</t>
        </is>
      </c>
      <c r="I110" s="4" t="inlineStr">
        <is>
          <t>영구성장률.</t>
        </is>
      </c>
    </row>
    <row r="111">
      <c r="B111" s="8" t="inlineStr">
        <is>
          <t>discount_factor</t>
        </is>
      </c>
      <c r="C111" s="4" t="inlineStr">
        <is>
          <t>Discount Factor</t>
        </is>
      </c>
      <c r="D111" s="8" t="inlineStr">
        <is>
          <t>valuation</t>
        </is>
      </c>
      <c r="E111" s="4" t="n">
        <v>2</v>
      </c>
      <c r="F111" s="4" t="inlineStr">
        <is>
          <t>input</t>
        </is>
      </c>
      <c r="G111" s="8" t="inlineStr"/>
      <c r="H111" s="4" t="inlineStr">
        <is>
          <t>x</t>
        </is>
      </c>
      <c r="I111" s="4" t="inlineStr">
        <is>
          <t>연도별 할인계수. Excel 재구현 시 WACC와 기간으로 계산식화.</t>
        </is>
      </c>
    </row>
    <row r="112">
      <c r="B112" s="8" t="inlineStr">
        <is>
          <t>pv_fcff</t>
        </is>
      </c>
      <c r="C112" s="4" t="inlineStr">
        <is>
          <t>PV of FCFF</t>
        </is>
      </c>
      <c r="D112" s="8" t="inlineStr">
        <is>
          <t>valuation</t>
        </is>
      </c>
      <c r="E112" s="4" t="n">
        <v>2</v>
      </c>
      <c r="F112" s="4" t="inlineStr">
        <is>
          <t>computed</t>
        </is>
      </c>
      <c r="G112" s="8" t="inlineStr">
        <is>
          <t>fcff * discount_factor</t>
        </is>
      </c>
      <c r="H112" s="4" t="inlineStr">
        <is>
          <t>원</t>
        </is>
      </c>
      <c r="I112" s="4" t="inlineStr">
        <is>
          <t>연도별 FCFF 현재가치.</t>
        </is>
      </c>
    </row>
    <row r="113">
      <c r="B113" s="8" t="inlineStr">
        <is>
          <t>terminal_value</t>
        </is>
      </c>
      <c r="C113" s="4" t="inlineStr">
        <is>
          <t>Terminal Value</t>
        </is>
      </c>
      <c r="D113" s="8" t="inlineStr">
        <is>
          <t>valuation</t>
        </is>
      </c>
      <c r="E113" s="4" t="n">
        <v>2</v>
      </c>
      <c r="F113" s="4" t="inlineStr">
        <is>
          <t>computed</t>
        </is>
      </c>
      <c r="G113" s="8" t="inlineStr">
        <is>
          <t>fcff * (1 + terminal_growth) / (wacc - terminal_growth)</t>
        </is>
      </c>
      <c r="H113" s="4" t="inlineStr">
        <is>
          <t>원</t>
        </is>
      </c>
      <c r="I113" s="4" t="inlineStr">
        <is>
          <t>각 연도 FCFF를 기준으로 계산한 Gordon Growth Terminal Value.</t>
        </is>
      </c>
    </row>
    <row r="114">
      <c r="B114" s="8" t="inlineStr">
        <is>
          <t>pv_terminal_value</t>
        </is>
      </c>
      <c r="C114" s="4" t="inlineStr">
        <is>
          <t>PV of Terminal Value</t>
        </is>
      </c>
      <c r="D114" s="8" t="inlineStr">
        <is>
          <t>valuation</t>
        </is>
      </c>
      <c r="E114" s="4" t="n">
        <v>2</v>
      </c>
      <c r="F114" s="4" t="inlineStr">
        <is>
          <t>computed</t>
        </is>
      </c>
      <c r="G114" s="8" t="inlineStr">
        <is>
          <t>terminal_value * discount_factor</t>
        </is>
      </c>
      <c r="H114" s="4" t="inlineStr">
        <is>
          <t>원</t>
        </is>
      </c>
      <c r="I114" s="4" t="inlineStr">
        <is>
          <t>Terminal Value 현재가치.</t>
        </is>
      </c>
    </row>
    <row r="115">
      <c r="B115" s="8" t="inlineStr">
        <is>
          <t>enterprise_value</t>
        </is>
      </c>
      <c r="C115" s="4" t="inlineStr">
        <is>
          <t>Enterprise Value</t>
        </is>
      </c>
      <c r="D115" s="8" t="inlineStr">
        <is>
          <t>valuation</t>
        </is>
      </c>
      <c r="E115" s="4" t="n">
        <v>2</v>
      </c>
      <c r="F115" s="4" t="inlineStr">
        <is>
          <t>computed</t>
        </is>
      </c>
      <c r="G115" s="8" t="inlineStr">
        <is>
          <t>pv_fcff + pv_terminal_value</t>
        </is>
      </c>
      <c r="H115" s="4" t="inlineStr">
        <is>
          <t>원</t>
        </is>
      </c>
      <c r="I115" s="4" t="inlineStr">
        <is>
          <t>기업가치 = PV of FCFF + PV of Terminal Value. Excel에서는 명시적 예측기간 합산 구조로 확장.</t>
        </is>
      </c>
    </row>
    <row r="116">
      <c r="B116" s="8" t="inlineStr">
        <is>
          <t>net_debt</t>
        </is>
      </c>
      <c r="C116" s="4" t="inlineStr">
        <is>
          <t>순차입금 / 조정</t>
        </is>
      </c>
      <c r="D116" s="8" t="inlineStr">
        <is>
          <t>valuation</t>
        </is>
      </c>
      <c r="E116" s="4" t="n">
        <v>2</v>
      </c>
      <c r="F116" s="4" t="inlineStr">
        <is>
          <t>input</t>
        </is>
      </c>
      <c r="G116" s="8" t="inlineStr"/>
      <c r="H116" s="4" t="inlineStr">
        <is>
          <t>원</t>
        </is>
      </c>
      <c r="I116" s="4" t="inlineStr">
        <is>
          <t>순차입금 및 가치 조정 항목.</t>
        </is>
      </c>
    </row>
    <row r="117">
      <c r="B117" s="8" t="inlineStr">
        <is>
          <t>equity_value</t>
        </is>
      </c>
      <c r="C117" s="4" t="inlineStr">
        <is>
          <t>Equity Value</t>
        </is>
      </c>
      <c r="D117" s="8" t="inlineStr">
        <is>
          <t>valuation</t>
        </is>
      </c>
      <c r="E117" s="4" t="n">
        <v>2</v>
      </c>
      <c r="F117" s="4" t="inlineStr">
        <is>
          <t>computed</t>
        </is>
      </c>
      <c r="G117" s="8" t="inlineStr">
        <is>
          <t>enterprise_value - net_debt</t>
        </is>
      </c>
      <c r="H117" s="4" t="inlineStr">
        <is>
          <t>원</t>
        </is>
      </c>
      <c r="I117" s="4" t="inlineStr">
        <is>
          <t>주주가치 = 기업가치 − 순차입금/조정.</t>
        </is>
      </c>
    </row>
    <row r="118">
      <c r="B118" s="8" t="inlineStr">
        <is>
          <t>shares_outstanding</t>
        </is>
      </c>
      <c r="C118" s="4" t="inlineStr">
        <is>
          <t>주식수</t>
        </is>
      </c>
      <c r="D118" s="8" t="inlineStr">
        <is>
          <t>valuation</t>
        </is>
      </c>
      <c r="E118" s="4" t="n">
        <v>2</v>
      </c>
      <c r="F118" s="4" t="inlineStr">
        <is>
          <t>input</t>
        </is>
      </c>
      <c r="G118" s="8" t="inlineStr"/>
      <c r="H118" s="4" t="inlineStr">
        <is>
          <t>주</t>
        </is>
      </c>
      <c r="I118" s="4" t="inlineStr">
        <is>
          <t>주당가치 계산용 희석 주식수.</t>
        </is>
      </c>
    </row>
    <row r="119">
      <c r="B119" s="8" t="inlineStr">
        <is>
          <t>value_per_share</t>
        </is>
      </c>
      <c r="C119" s="4" t="inlineStr">
        <is>
          <t>주당가치</t>
        </is>
      </c>
      <c r="D119" s="8" t="inlineStr">
        <is>
          <t>valuation</t>
        </is>
      </c>
      <c r="E119" s="4" t="n">
        <v>2</v>
      </c>
      <c r="F119" s="4" t="inlineStr">
        <is>
          <t>computed</t>
        </is>
      </c>
      <c r="G119" s="8" t="inlineStr">
        <is>
          <t>equity_value / shares_outstanding</t>
        </is>
      </c>
      <c r="H119" s="4" t="inlineStr">
        <is>
          <t>원</t>
        </is>
      </c>
      <c r="I119" s="4" t="inlineStr">
        <is>
          <t>주당가치 = Equity Value / 주식수.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D10"/>
  <sheetViews>
    <sheetView showGridLines="0" zoomScale="100" workbookViewId="0">
      <selection activeCell="A1" sqref="A1"/>
    </sheetView>
  </sheetViews>
  <sheetFormatPr baseColWidth="8" defaultRowHeight="15"/>
  <cols>
    <col width="1.71" customWidth="1" min="1" max="1"/>
    <col width="42" customWidth="1" min="2" max="2"/>
    <col width="24" customWidth="1" min="3" max="3"/>
    <col width="14" customWidth="1" min="4" max="4"/>
  </cols>
  <sheetData>
    <row r="1" ht="16.5" customHeight="1">
      <c r="B1" s="1" t="inlineStr">
        <is>
          <t>Checks</t>
        </is>
      </c>
    </row>
    <row r="3">
      <c r="B3" s="2" t="inlineStr">
        <is>
          <t>Check</t>
        </is>
      </c>
      <c r="C3" s="2" t="inlineStr">
        <is>
          <t>Result</t>
        </is>
      </c>
      <c r="D3" s="2" t="inlineStr">
        <is>
          <t>Status</t>
        </is>
      </c>
    </row>
    <row r="4">
      <c r="B4" s="4" t="inlineStr">
        <is>
          <t>Formula cells generated</t>
        </is>
      </c>
      <c r="C4" s="32" t="n">
        <v>406</v>
      </c>
      <c r="D4" s="33" t="inlineStr">
        <is>
          <t>OK</t>
        </is>
      </c>
    </row>
    <row r="5">
      <c r="B5" s="4" t="inlineStr">
        <is>
          <t>Input links generated</t>
        </is>
      </c>
      <c r="C5" s="32" t="n">
        <v>406</v>
      </c>
      <c r="D5" s="33" t="inlineStr">
        <is>
          <t>OK</t>
        </is>
      </c>
    </row>
    <row r="6">
      <c r="B6" s="4" t="inlineStr">
        <is>
          <t>Computed nodes</t>
        </is>
      </c>
      <c r="C6" s="32" t="n">
        <v>58</v>
      </c>
      <c r="D6" s="33" t="inlineStr">
        <is>
          <t>OK</t>
        </is>
      </c>
    </row>
    <row r="7">
      <c r="B7" s="4" t="inlineStr">
        <is>
          <t>Input nodes</t>
        </is>
      </c>
      <c r="C7" s="32" t="n">
        <v>58</v>
      </c>
      <c r="D7" s="33" t="inlineStr">
        <is>
          <t>OK</t>
        </is>
      </c>
    </row>
    <row r="8">
      <c r="B8" s="4" t="inlineStr">
        <is>
          <t>All computed formulas parsed</t>
        </is>
      </c>
      <c r="C8" s="32" t="inlineStr">
        <is>
          <t>OK</t>
        </is>
      </c>
      <c r="D8" s="33" t="inlineStr">
        <is>
          <t>OK</t>
        </is>
      </c>
    </row>
    <row r="9">
      <c r="B9" s="4" t="inlineStr">
        <is>
          <t>All inputs centralized in Assumptions</t>
        </is>
      </c>
      <c r="C9" s="32" t="inlineStr">
        <is>
          <t>OK</t>
        </is>
      </c>
      <c r="D9" s="33" t="inlineStr">
        <is>
          <t>OK</t>
        </is>
      </c>
    </row>
    <row r="10">
      <c r="B10" s="4" t="inlineStr">
        <is>
          <t>HTML nodes in Structure</t>
        </is>
      </c>
      <c r="C10" s="32" t="n">
        <v>116</v>
      </c>
      <c r="D10" s="33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C11"/>
  <sheetViews>
    <sheetView showGridLines="0" zoomScale="100" workbookViewId="0">
      <selection activeCell="A1" sqref="A1"/>
    </sheetView>
  </sheetViews>
  <sheetFormatPr baseColWidth="8" defaultRowHeight="15"/>
  <cols>
    <col width="1.71" customWidth="1" min="1" max="1"/>
    <col width="24" customWidth="1" min="2" max="2"/>
    <col width="90" customWidth="1" min="3" max="3"/>
  </cols>
  <sheetData>
    <row r="1" ht="16.5" customHeight="1">
      <c r="B1" s="1" t="inlineStr">
        <is>
          <t>Metadata</t>
        </is>
      </c>
    </row>
    <row r="3">
      <c r="B3" s="31" t="inlineStr">
        <is>
          <t>Generated by</t>
        </is>
      </c>
      <c r="C3" s="4" t="inlineStr">
        <is>
          <t>financial-modeling/framework/build_excel.py</t>
        </is>
      </c>
    </row>
    <row r="4">
      <c r="B4" s="31" t="inlineStr">
        <is>
          <t>IR version</t>
        </is>
      </c>
      <c r="C4" s="4" t="n">
        <v>1</v>
      </c>
    </row>
    <row r="5">
      <c r="B5" s="31" t="inlineStr">
        <is>
          <t>Nodes</t>
        </is>
      </c>
      <c r="C5" s="4" t="n">
        <v>116</v>
      </c>
    </row>
    <row r="6">
      <c r="B6" s="31" t="inlineStr">
        <is>
          <t>Input nodes</t>
        </is>
      </c>
      <c r="C6" s="4" t="n">
        <v>58</v>
      </c>
    </row>
    <row r="7">
      <c r="B7" s="31" t="inlineStr">
        <is>
          <t>Computed nodes</t>
        </is>
      </c>
      <c r="C7" s="4" t="n">
        <v>58</v>
      </c>
    </row>
    <row r="8">
      <c r="B8" s="31" t="inlineStr">
        <is>
          <t>Formula cells</t>
        </is>
      </c>
      <c r="C8" s="4" t="n">
        <v>406</v>
      </c>
    </row>
    <row r="9">
      <c r="B9" s="31" t="inlineStr">
        <is>
          <t>Input link cells</t>
        </is>
      </c>
      <c r="C9" s="4" t="n">
        <v>406</v>
      </c>
    </row>
    <row r="10">
      <c r="B10" s="31" t="inlineStr">
        <is>
          <t>Years</t>
        </is>
      </c>
      <c r="C10" s="4" t="inlineStr">
        <is>
          <t>2023–2029 (7개)</t>
        </is>
      </c>
    </row>
    <row r="11">
      <c r="B11" s="31" t="inlineStr">
        <is>
          <t>Policy</t>
        </is>
      </c>
      <c r="C11" s="4" t="inlineStr">
        <is>
          <t>Inputs are centralized in Assumptions; Model contains links and formulas.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2026-05-25T06:01:18Z</dcterms:created>
  <dcterms:modified xsi:type="dcterms:W3CDTF">2026-05-25T06:01:18Z</dcterms:modified>
</cp:coreProperties>
</file>