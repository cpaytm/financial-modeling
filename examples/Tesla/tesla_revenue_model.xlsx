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Formula Audit" sheetId="5" state="visible" r:id="rId5"/>
    <sheet xmlns:r="http://schemas.openxmlformats.org/officeDocument/2006/relationships" name="Structure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Metadat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-* #,##0_-;-* #,##0_-;_-* &quot;-&quot;_-;_-@_-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color rgb="00008000"/>
      <sz val="9"/>
    </font>
    <font>
      <name val="맑은 고딕"/>
      <color rgb="00000000"/>
      <sz val="9"/>
    </font>
    <font>
      <name val="Consolas"/>
      <color rgb="00808080"/>
      <sz val="8"/>
    </font>
    <font>
      <name val="Arial"/>
      <color rgb="00808080"/>
      <sz val="9"/>
    </font>
    <font>
      <name val="Arial"/>
      <color rgb="000000FF"/>
      <sz val="9"/>
    </font>
    <font>
      <name val="맑은 고딕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8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bottom style="hair">
        <color rgb="00D9D9D9"/>
      </bottom>
    </border>
    <border>
      <bottom style="thin">
        <color rgb="00A6A6A6"/>
      </bottom>
    </border>
    <border>
      <top style="thin">
        <color rgb="00A6A6A6"/>
      </top>
      <bottom style="double">
        <color rgb="00000000"/>
      </bottom>
    </border>
    <border>
      <top style="thin">
        <color rgb="00A6A6A6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2" borderId="2" applyAlignment="1" pivotButton="0" quotePrefix="0" xfId="0">
      <alignment horizontal="centerContinuous" vertical="center"/>
    </xf>
    <xf numFmtId="0" fontId="2" fillId="3" borderId="2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" vertical="center"/>
    </xf>
    <xf numFmtId="0" fontId="8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/>
    </xf>
    <xf numFmtId="0" fontId="0" fillId="4" borderId="3" pivotButton="0" quotePrefix="0" xfId="0"/>
    <xf numFmtId="0" fontId="5" fillId="4" borderId="3" pivotButton="0" quotePrefix="0" xfId="0"/>
    <xf numFmtId="0" fontId="6" fillId="4" borderId="3" pivotButton="0" quotePrefix="0" xfId="0"/>
    <xf numFmtId="164" fontId="10" fillId="4" borderId="3" applyAlignment="1" pivotButton="0" quotePrefix="0" xfId="0">
      <alignment horizontal="right" vertical="center"/>
    </xf>
    <xf numFmtId="0" fontId="0" fillId="5" borderId="4" pivotButton="0" quotePrefix="0" xfId="0"/>
    <xf numFmtId="0" fontId="8" fillId="5" borderId="4" applyAlignment="1" pivotButton="0" quotePrefix="0" xfId="0">
      <alignment horizontal="left" vertical="center"/>
    </xf>
    <xf numFmtId="0" fontId="5" fillId="5" borderId="4" pivotButton="0" quotePrefix="0" xfId="0"/>
    <xf numFmtId="0" fontId="6" fillId="5" borderId="4" pivotButton="0" quotePrefix="0" xfId="0"/>
    <xf numFmtId="164" fontId="10" fillId="5" borderId="4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2" fillId="2" borderId="2" pivotButton="0" quotePrefix="0" xfId="0"/>
    <xf numFmtId="0" fontId="9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22" customWidth="1" min="2" max="2"/>
    <col width="80" customWidth="1" min="3" max="3"/>
  </cols>
  <sheetData>
    <row r="1" ht="16.5" customHeight="1">
      <c r="B1" s="1" t="inlineStr">
        <is>
          <t>Index</t>
        </is>
      </c>
    </row>
    <row r="3">
      <c r="B3" s="2" t="inlineStr">
        <is>
          <t>Sheet</t>
        </is>
      </c>
      <c r="C3" s="2" t="inlineStr">
        <is>
          <t>Description</t>
        </is>
      </c>
    </row>
    <row r="4">
      <c r="B4" s="3">
        <f>HYPERLINK("#'Control'!A1","Control")</f>
        <v/>
      </c>
      <c r="C4" s="4" t="inlineStr">
        <is>
          <t>핵심 가정과 주요 결과 요약</t>
        </is>
      </c>
    </row>
    <row r="5">
      <c r="B5" s="3">
        <f>HYPERLINK("#'Assumptions'!A1","Assumptions")</f>
        <v/>
      </c>
      <c r="C5" s="4" t="inlineStr">
        <is>
          <t>모든 하드코딩 입력값 집중 시트</t>
        </is>
      </c>
    </row>
    <row r="6">
      <c r="B6" s="3">
        <f>HYPERLINK("#'Model'!A1","Model")</f>
        <v/>
      </c>
      <c r="C6" s="4" t="inlineStr">
        <is>
          <t>HTML D 그래프를 기간별 Excel 수식으로 전개한 계산 엔진</t>
        </is>
      </c>
    </row>
    <row r="7">
      <c r="B7" s="3">
        <f>HYPERLINK("#'Formula Audit'!A1","Formula Audit")</f>
        <v/>
      </c>
      <c r="C7" s="4" t="inlineStr">
        <is>
          <t>생성된 모든 수식 셀 감사</t>
        </is>
      </c>
    </row>
    <row r="8">
      <c r="B8" s="3">
        <f>HYPERLINK("#'Structure'!A1","Structure")</f>
        <v/>
      </c>
      <c r="C8" s="4" t="inlineStr">
        <is>
          <t>HTML 노드 ID, parent, formula, description</t>
        </is>
      </c>
    </row>
    <row r="9">
      <c r="B9" s="3">
        <f>HYPERLINK("#'Checks'!A1","Checks")</f>
        <v/>
      </c>
      <c r="C9" s="4" t="inlineStr">
        <is>
          <t>수식/구조/정합성 검증</t>
        </is>
      </c>
    </row>
    <row r="10">
      <c r="B10" s="3">
        <f>HYPERLINK("#'Metadata'!A1","Metadata")</f>
        <v/>
      </c>
      <c r="C10" s="4" t="inlineStr">
        <is>
          <t>생성 정보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12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" customWidth="1" min="3" max="3"/>
    <col width="1" customWidth="1" min="4" max="4"/>
    <col width="1" customWidth="1" min="5" max="5"/>
    <col width="32" customWidth="1" min="6" max="6"/>
    <col width="22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6.5" customHeight="1">
      <c r="B1" s="1" t="inlineStr">
        <is>
          <t>Control</t>
        </is>
      </c>
    </row>
    <row r="3">
      <c r="I3" s="5" t="inlineStr">
        <is>
          <t>Historical</t>
        </is>
      </c>
      <c r="J3" s="5" t="n"/>
      <c r="K3" s="5" t="n"/>
      <c r="L3" s="5" t="n"/>
      <c r="M3" s="6" t="inlineStr">
        <is>
          <t>Forecast</t>
        </is>
      </c>
      <c r="N3" s="6" t="n"/>
      <c r="O3" s="6" t="n"/>
      <c r="P3" s="6" t="n"/>
      <c r="Q3" s="6" t="n"/>
      <c r="R3" s="6" t="n"/>
    </row>
    <row r="4">
      <c r="B4" s="2" t="inlineStr">
        <is>
          <t>Output</t>
        </is>
      </c>
      <c r="C4" s="2" t="inlineStr">
        <is>
          <t>ID</t>
        </is>
      </c>
      <c r="I4" s="7" t="inlineStr">
        <is>
          <t>2022</t>
        </is>
      </c>
      <c r="J4" s="7" t="inlineStr">
        <is>
          <t>2023</t>
        </is>
      </c>
      <c r="K4" s="7" t="inlineStr">
        <is>
          <t>2024</t>
        </is>
      </c>
      <c r="L4" s="7" t="inlineStr">
        <is>
          <t>2025</t>
        </is>
      </c>
      <c r="M4" s="7" t="inlineStr">
        <is>
          <t>2026</t>
        </is>
      </c>
      <c r="N4" s="7" t="inlineStr">
        <is>
          <t>2027</t>
        </is>
      </c>
      <c r="O4" s="7" t="inlineStr">
        <is>
          <t>2028</t>
        </is>
      </c>
      <c r="P4" s="7" t="inlineStr">
        <is>
          <t>2029</t>
        </is>
      </c>
      <c r="Q4" s="7" t="inlineStr">
        <is>
          <t>2030</t>
        </is>
      </c>
      <c r="R4" s="7" t="inlineStr">
        <is>
          <t>2031</t>
        </is>
      </c>
    </row>
    <row r="5">
      <c r="B5" s="8" t="inlineStr">
        <is>
          <t>테슬라 총매출</t>
        </is>
      </c>
      <c r="C5" s="9" t="inlineStr">
        <is>
          <t>root</t>
        </is>
      </c>
      <c r="D5" s="10" t="n"/>
      <c r="E5" s="10" t="n"/>
      <c r="F5" s="10" t="n"/>
      <c r="G5" s="10" t="n"/>
      <c r="H5" s="10" t="n"/>
      <c r="I5" s="11">
        <f>'Model'!I5</f>
        <v/>
      </c>
      <c r="J5" s="11">
        <f>'Model'!J5</f>
        <v/>
      </c>
      <c r="K5" s="11">
        <f>'Model'!K5</f>
        <v/>
      </c>
      <c r="L5" s="11">
        <f>'Model'!L5</f>
        <v/>
      </c>
      <c r="M5" s="11">
        <f>'Model'!M5</f>
        <v/>
      </c>
      <c r="N5" s="11">
        <f>'Model'!N5</f>
        <v/>
      </c>
      <c r="O5" s="11">
        <f>'Model'!O5</f>
        <v/>
      </c>
      <c r="P5" s="11">
        <f>'Model'!P5</f>
        <v/>
      </c>
      <c r="Q5" s="11">
        <f>'Model'!Q5</f>
        <v/>
      </c>
      <c r="R5" s="11">
        <f>'Model'!R5</f>
        <v/>
      </c>
    </row>
    <row r="6">
      <c r="B6" s="4" t="inlineStr">
        <is>
          <t>① Automotive</t>
        </is>
      </c>
      <c r="C6" s="9" t="inlineStr">
        <is>
          <t>auto_total</t>
        </is>
      </c>
      <c r="D6" s="10" t="n"/>
      <c r="E6" s="10" t="n"/>
      <c r="F6" s="10" t="n"/>
      <c r="G6" s="10" t="n"/>
      <c r="H6" s="10" t="n"/>
      <c r="I6" s="11">
        <f>'Model'!I6</f>
        <v/>
      </c>
      <c r="J6" s="11">
        <f>'Model'!J6</f>
        <v/>
      </c>
      <c r="K6" s="11">
        <f>'Model'!K6</f>
        <v/>
      </c>
      <c r="L6" s="11">
        <f>'Model'!L6</f>
        <v/>
      </c>
      <c r="M6" s="11">
        <f>'Model'!M6</f>
        <v/>
      </c>
      <c r="N6" s="11">
        <f>'Model'!N6</f>
        <v/>
      </c>
      <c r="O6" s="11">
        <f>'Model'!O6</f>
        <v/>
      </c>
      <c r="P6" s="11">
        <f>'Model'!P6</f>
        <v/>
      </c>
      <c r="Q6" s="11">
        <f>'Model'!Q6</f>
        <v/>
      </c>
      <c r="R6" s="11">
        <f>'Model'!R6</f>
        <v/>
      </c>
    </row>
    <row r="7">
      <c r="B7" s="4" t="inlineStr">
        <is>
          <t>② Energy</t>
        </is>
      </c>
      <c r="C7" s="9" t="inlineStr">
        <is>
          <t>energy_total</t>
        </is>
      </c>
      <c r="D7" s="10" t="n"/>
      <c r="E7" s="10" t="n"/>
      <c r="F7" s="10" t="n"/>
      <c r="G7" s="10" t="n"/>
      <c r="H7" s="10" t="n"/>
      <c r="I7" s="11">
        <f>'Model'!I19</f>
        <v/>
      </c>
      <c r="J7" s="11">
        <f>'Model'!J19</f>
        <v/>
      </c>
      <c r="K7" s="11">
        <f>'Model'!K19</f>
        <v/>
      </c>
      <c r="L7" s="11">
        <f>'Model'!L19</f>
        <v/>
      </c>
      <c r="M7" s="11">
        <f>'Model'!M19</f>
        <v/>
      </c>
      <c r="N7" s="11">
        <f>'Model'!N19</f>
        <v/>
      </c>
      <c r="O7" s="11">
        <f>'Model'!O19</f>
        <v/>
      </c>
      <c r="P7" s="11">
        <f>'Model'!P19</f>
        <v/>
      </c>
      <c r="Q7" s="11">
        <f>'Model'!Q19</f>
        <v/>
      </c>
      <c r="R7" s="11">
        <f>'Model'!R19</f>
        <v/>
      </c>
    </row>
    <row r="8">
      <c r="B8" s="4" t="inlineStr">
        <is>
          <t>③ Services</t>
        </is>
      </c>
      <c r="C8" s="9" t="inlineStr">
        <is>
          <t>services_total</t>
        </is>
      </c>
      <c r="D8" s="10" t="n"/>
      <c r="E8" s="10" t="n"/>
      <c r="F8" s="10" t="n"/>
      <c r="G8" s="10" t="n"/>
      <c r="H8" s="10" t="n"/>
      <c r="I8" s="11">
        <f>'Model'!I22</f>
        <v/>
      </c>
      <c r="J8" s="11">
        <f>'Model'!J22</f>
        <v/>
      </c>
      <c r="K8" s="11">
        <f>'Model'!K22</f>
        <v/>
      </c>
      <c r="L8" s="11">
        <f>'Model'!L22</f>
        <v/>
      </c>
      <c r="M8" s="11">
        <f>'Model'!M22</f>
        <v/>
      </c>
      <c r="N8" s="11">
        <f>'Model'!N22</f>
        <v/>
      </c>
      <c r="O8" s="11">
        <f>'Model'!O22</f>
        <v/>
      </c>
      <c r="P8" s="11">
        <f>'Model'!P22</f>
        <v/>
      </c>
      <c r="Q8" s="11">
        <f>'Model'!Q22</f>
        <v/>
      </c>
      <c r="R8" s="11">
        <f>'Model'!R22</f>
        <v/>
      </c>
    </row>
    <row r="9">
      <c r="B9" s="4" t="inlineStr">
        <is>
          <t>차량판매</t>
        </is>
      </c>
      <c r="C9" s="9" t="inlineStr">
        <is>
          <t>auto_sales</t>
        </is>
      </c>
      <c r="D9" s="10" t="n"/>
      <c r="E9" s="10" t="n"/>
      <c r="F9" s="10" t="n"/>
      <c r="G9" s="10" t="n"/>
      <c r="H9" s="10" t="n"/>
      <c r="I9" s="11">
        <f>'Model'!I7</f>
        <v/>
      </c>
      <c r="J9" s="11">
        <f>'Model'!J7</f>
        <v/>
      </c>
      <c r="K9" s="11">
        <f>'Model'!K7</f>
        <v/>
      </c>
      <c r="L9" s="11">
        <f>'Model'!L7</f>
        <v/>
      </c>
      <c r="M9" s="11">
        <f>'Model'!M7</f>
        <v/>
      </c>
      <c r="N9" s="11">
        <f>'Model'!N7</f>
        <v/>
      </c>
      <c r="O9" s="11">
        <f>'Model'!O7</f>
        <v/>
      </c>
      <c r="P9" s="11">
        <f>'Model'!P7</f>
        <v/>
      </c>
      <c r="Q9" s="11">
        <f>'Model'!Q7</f>
        <v/>
      </c>
      <c r="R9" s="11">
        <f>'Model'!R7</f>
        <v/>
      </c>
    </row>
    <row r="10">
      <c r="B10" s="4" t="inlineStr">
        <is>
          <t>Model 3/Y 매출</t>
        </is>
      </c>
      <c r="C10" s="9" t="inlineStr">
        <is>
          <t>sales_3y</t>
        </is>
      </c>
      <c r="D10" s="10" t="n"/>
      <c r="E10" s="10" t="n"/>
      <c r="F10" s="10" t="n"/>
      <c r="G10" s="10" t="n"/>
      <c r="H10" s="10" t="n"/>
      <c r="I10" s="11">
        <f>'Model'!I8</f>
        <v/>
      </c>
      <c r="J10" s="11">
        <f>'Model'!J8</f>
        <v/>
      </c>
      <c r="K10" s="11">
        <f>'Model'!K8</f>
        <v/>
      </c>
      <c r="L10" s="11">
        <f>'Model'!L8</f>
        <v/>
      </c>
      <c r="M10" s="11">
        <f>'Model'!M8</f>
        <v/>
      </c>
      <c r="N10" s="11">
        <f>'Model'!N8</f>
        <v/>
      </c>
      <c r="O10" s="11">
        <f>'Model'!O8</f>
        <v/>
      </c>
      <c r="P10" s="11">
        <f>'Model'!P8</f>
        <v/>
      </c>
      <c r="Q10" s="11">
        <f>'Model'!Q8</f>
        <v/>
      </c>
      <c r="R10" s="11">
        <f>'Model'!R8</f>
        <v/>
      </c>
    </row>
    <row r="11">
      <c r="B11" s="4" t="inlineStr">
        <is>
          <t>S/X·Cybertruck 매출</t>
        </is>
      </c>
      <c r="C11" s="9" t="inlineStr">
        <is>
          <t>sales_sxc</t>
        </is>
      </c>
      <c r="D11" s="10" t="n"/>
      <c r="E11" s="10" t="n"/>
      <c r="F11" s="10" t="n"/>
      <c r="G11" s="10" t="n"/>
      <c r="H11" s="10" t="n"/>
      <c r="I11" s="11">
        <f>'Model'!I11</f>
        <v/>
      </c>
      <c r="J11" s="11">
        <f>'Model'!J11</f>
        <v/>
      </c>
      <c r="K11" s="11">
        <f>'Model'!K11</f>
        <v/>
      </c>
      <c r="L11" s="11">
        <f>'Model'!L11</f>
        <v/>
      </c>
      <c r="M11" s="11">
        <f>'Model'!M11</f>
        <v/>
      </c>
      <c r="N11" s="11">
        <f>'Model'!N11</f>
        <v/>
      </c>
      <c r="O11" s="11">
        <f>'Model'!O11</f>
        <v/>
      </c>
      <c r="P11" s="11">
        <f>'Model'!P11</f>
        <v/>
      </c>
      <c r="Q11" s="11">
        <f>'Model'!Q11</f>
        <v/>
      </c>
      <c r="R11" s="11">
        <f>'Model'!R11</f>
        <v/>
      </c>
    </row>
    <row r="12">
      <c r="B12" s="4" t="inlineStr">
        <is>
          <t>신규 저가모델 매출</t>
        </is>
      </c>
      <c r="C12" s="9" t="inlineStr">
        <is>
          <t>sales_new</t>
        </is>
      </c>
      <c r="D12" s="10" t="n"/>
      <c r="E12" s="10" t="n"/>
      <c r="F12" s="10" t="n"/>
      <c r="G12" s="10" t="n"/>
      <c r="H12" s="10" t="n"/>
      <c r="I12" s="11">
        <f>'Model'!I14</f>
        <v/>
      </c>
      <c r="J12" s="11">
        <f>'Model'!J14</f>
        <v/>
      </c>
      <c r="K12" s="11">
        <f>'Model'!K14</f>
        <v/>
      </c>
      <c r="L12" s="11">
        <f>'Model'!L14</f>
        <v/>
      </c>
      <c r="M12" s="11">
        <f>'Model'!M14</f>
        <v/>
      </c>
      <c r="N12" s="11">
        <f>'Model'!N14</f>
        <v/>
      </c>
      <c r="O12" s="11">
        <f>'Model'!O14</f>
        <v/>
      </c>
      <c r="P12" s="11">
        <f>'Model'!P14</f>
        <v/>
      </c>
      <c r="Q12" s="11">
        <f>'Model'!Q14</f>
        <v/>
      </c>
      <c r="R12" s="11">
        <f>'Model'!R14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16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" customWidth="1" min="3" max="3"/>
    <col width="1" customWidth="1" min="4" max="4"/>
    <col width="1" customWidth="1" min="5" max="5"/>
    <col width="32" customWidth="1" min="6" max="6"/>
    <col width="22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6.5" customHeight="1">
      <c r="B1" s="1" t="inlineStr">
        <is>
          <t>Assumptions</t>
        </is>
      </c>
    </row>
    <row r="3">
      <c r="I3" s="5" t="inlineStr">
        <is>
          <t>Historical</t>
        </is>
      </c>
      <c r="J3" s="5" t="n"/>
      <c r="K3" s="5" t="n"/>
      <c r="L3" s="5" t="n"/>
      <c r="M3" s="6" t="inlineStr">
        <is>
          <t>Forecast</t>
        </is>
      </c>
      <c r="N3" s="6" t="n"/>
      <c r="O3" s="6" t="n"/>
      <c r="P3" s="6" t="n"/>
      <c r="Q3" s="6" t="n"/>
      <c r="R3" s="6" t="n"/>
    </row>
    <row r="4">
      <c r="G4" s="2" t="inlineStr">
        <is>
          <t>ID</t>
        </is>
      </c>
      <c r="H4" s="2" t="inlineStr">
        <is>
          <t>Unit</t>
        </is>
      </c>
      <c r="I4" s="7" t="inlineStr">
        <is>
          <t>2022</t>
        </is>
      </c>
      <c r="J4" s="7" t="inlineStr">
        <is>
          <t>2023</t>
        </is>
      </c>
      <c r="K4" s="7" t="inlineStr">
        <is>
          <t>2024</t>
        </is>
      </c>
      <c r="L4" s="7" t="inlineStr">
        <is>
          <t>2025</t>
        </is>
      </c>
      <c r="M4" s="7" t="inlineStr">
        <is>
          <t>2026</t>
        </is>
      </c>
      <c r="N4" s="7" t="inlineStr">
        <is>
          <t>2027</t>
        </is>
      </c>
      <c r="O4" s="7" t="inlineStr">
        <is>
          <t>2028</t>
        </is>
      </c>
      <c r="P4" s="7" t="inlineStr">
        <is>
          <t>2029</t>
        </is>
      </c>
      <c r="Q4" s="7" t="inlineStr">
        <is>
          <t>2030</t>
        </is>
      </c>
      <c r="R4" s="7" t="inlineStr">
        <is>
          <t>2031</t>
        </is>
      </c>
    </row>
    <row r="5">
      <c r="B5" s="10" t="n"/>
      <c r="C5" s="10" t="n"/>
      <c r="D5" s="10" t="n"/>
      <c r="E5" s="10" t="n"/>
      <c r="F5" s="12" t="inlineStr">
        <is>
          <t>Model 3/Y 인도량</t>
        </is>
      </c>
      <c r="G5" s="9" t="inlineStr">
        <is>
          <t>del_3y</t>
        </is>
      </c>
      <c r="H5" s="13" t="inlineStr">
        <is>
          <t>천대</t>
        </is>
      </c>
      <c r="I5" s="14" t="n">
        <v>1247.146</v>
      </c>
      <c r="J5" s="14" t="n">
        <v>1739.707</v>
      </c>
      <c r="K5" s="14" t="n">
        <v>1704.093</v>
      </c>
      <c r="L5" s="14" t="n">
        <v>1585.279</v>
      </c>
      <c r="M5" s="14" t="n">
        <v>1600</v>
      </c>
      <c r="N5" s="14" t="n">
        <v>1650</v>
      </c>
      <c r="O5" s="14" t="n">
        <v>1700</v>
      </c>
      <c r="P5" s="14" t="n">
        <v>1750</v>
      </c>
      <c r="Q5" s="14" t="n">
        <v>1800</v>
      </c>
      <c r="R5" s="14" t="n">
        <v>1850</v>
      </c>
    </row>
    <row r="6">
      <c r="B6" s="10" t="n"/>
      <c r="C6" s="10" t="n"/>
      <c r="D6" s="10" t="n"/>
      <c r="E6" s="10" t="n"/>
      <c r="F6" s="12" t="inlineStr">
        <is>
          <t>Model 3/Y ASP</t>
        </is>
      </c>
      <c r="G6" s="9" t="inlineStr">
        <is>
          <t>asp_3y</t>
        </is>
      </c>
      <c r="H6" s="13" t="inlineStr">
        <is>
          <t>천$/대</t>
        </is>
      </c>
      <c r="I6" s="14" t="n">
        <v>48.275</v>
      </c>
      <c r="J6" s="14" t="n">
        <v>41.3667</v>
      </c>
      <c r="K6" s="14" t="n">
        <v>38.5363</v>
      </c>
      <c r="L6" s="14" t="n">
        <v>39.1144</v>
      </c>
      <c r="M6" s="14" t="n">
        <v>39</v>
      </c>
      <c r="N6" s="14" t="n">
        <v>39</v>
      </c>
      <c r="O6" s="14" t="n">
        <v>39.5</v>
      </c>
      <c r="P6" s="14" t="n">
        <v>39.5</v>
      </c>
      <c r="Q6" s="14" t="n">
        <v>40</v>
      </c>
      <c r="R6" s="14" t="n">
        <v>40</v>
      </c>
    </row>
    <row r="7">
      <c r="B7" s="10" t="n"/>
      <c r="C7" s="10" t="n"/>
      <c r="D7" s="10" t="n"/>
      <c r="E7" s="10" t="n"/>
      <c r="F7" s="12" t="inlineStr">
        <is>
          <t>S/X·Cybertruck 인도량</t>
        </is>
      </c>
      <c r="G7" s="9" t="inlineStr">
        <is>
          <t>del_sxc</t>
        </is>
      </c>
      <c r="H7" s="13" t="inlineStr">
        <is>
          <t>천대</t>
        </is>
      </c>
      <c r="I7" s="14" t="n">
        <v>66.705</v>
      </c>
      <c r="J7" s="14" t="n">
        <v>68.874</v>
      </c>
      <c r="K7" s="14" t="n">
        <v>85.133</v>
      </c>
      <c r="L7" s="14" t="n">
        <v>50.85</v>
      </c>
      <c r="M7" s="14" t="n">
        <v>60</v>
      </c>
      <c r="N7" s="14" t="n">
        <v>70</v>
      </c>
      <c r="O7" s="14" t="n">
        <v>75</v>
      </c>
      <c r="P7" s="14" t="n">
        <v>80</v>
      </c>
      <c r="Q7" s="14" t="n">
        <v>85</v>
      </c>
      <c r="R7" s="14" t="n">
        <v>90</v>
      </c>
    </row>
    <row r="8">
      <c r="B8" s="10" t="n"/>
      <c r="C8" s="10" t="n"/>
      <c r="D8" s="10" t="n"/>
      <c r="E8" s="10" t="n"/>
      <c r="F8" s="12" t="inlineStr">
        <is>
          <t>S/X·Cybertruck ASP</t>
        </is>
      </c>
      <c r="G8" s="9" t="inlineStr">
        <is>
          <t>asp_sxc</t>
        </is>
      </c>
      <c r="H8" s="13" t="inlineStr">
        <is>
          <t>천$/대</t>
        </is>
      </c>
      <c r="I8" s="14" t="n">
        <v>105</v>
      </c>
      <c r="J8" s="14" t="n">
        <v>95</v>
      </c>
      <c r="K8" s="14" t="n">
        <v>80</v>
      </c>
      <c r="L8" s="14" t="n">
        <v>75</v>
      </c>
      <c r="M8" s="14" t="n">
        <v>72</v>
      </c>
      <c r="N8" s="14" t="n">
        <v>70</v>
      </c>
      <c r="O8" s="14" t="n">
        <v>70</v>
      </c>
      <c r="P8" s="14" t="n">
        <v>70</v>
      </c>
      <c r="Q8" s="14" t="n">
        <v>70</v>
      </c>
      <c r="R8" s="14" t="n">
        <v>70</v>
      </c>
    </row>
    <row r="9">
      <c r="B9" s="10" t="n"/>
      <c r="C9" s="10" t="n"/>
      <c r="D9" s="10" t="n"/>
      <c r="E9" s="10" t="n"/>
      <c r="F9" s="12" t="inlineStr">
        <is>
          <t>신규 저가모델 인도량</t>
        </is>
      </c>
      <c r="G9" s="9" t="inlineStr">
        <is>
          <t>del_new</t>
        </is>
      </c>
      <c r="H9" s="13" t="inlineStr">
        <is>
          <t>천대</t>
        </is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100</v>
      </c>
      <c r="N9" s="14" t="n">
        <v>350</v>
      </c>
      <c r="O9" s="14" t="n">
        <v>550</v>
      </c>
      <c r="P9" s="14" t="n">
        <v>800</v>
      </c>
      <c r="Q9" s="14" t="n">
        <v>1000</v>
      </c>
      <c r="R9" s="14" t="n">
        <v>1200</v>
      </c>
    </row>
    <row r="10">
      <c r="B10" s="10" t="n"/>
      <c r="C10" s="10" t="n"/>
      <c r="D10" s="10" t="n"/>
      <c r="E10" s="10" t="n"/>
      <c r="F10" s="12" t="inlineStr">
        <is>
          <t>신규 저가모델 ASP</t>
        </is>
      </c>
      <c r="G10" s="9" t="inlineStr">
        <is>
          <t>asp_new</t>
        </is>
      </c>
      <c r="H10" s="13" t="inlineStr">
        <is>
          <t>천$/대</t>
        </is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33</v>
      </c>
      <c r="N10" s="14" t="n">
        <v>32</v>
      </c>
      <c r="O10" s="14" t="n">
        <v>31</v>
      </c>
      <c r="P10" s="14" t="n">
        <v>31</v>
      </c>
      <c r="Q10" s="14" t="n">
        <v>30</v>
      </c>
      <c r="R10" s="14" t="n">
        <v>30</v>
      </c>
    </row>
    <row r="11">
      <c r="B11" s="10" t="n"/>
      <c r="C11" s="10" t="n"/>
      <c r="D11" s="12" t="inlineStr">
        <is>
          <t>리스(Leasing)</t>
        </is>
      </c>
      <c r="E11" s="10" t="n"/>
      <c r="F11" s="10" t="n"/>
      <c r="G11" s="9" t="inlineStr">
        <is>
          <t>auto_leasing</t>
        </is>
      </c>
      <c r="H11" s="13" t="inlineStr">
        <is>
          <t>백만$</t>
        </is>
      </c>
      <c r="I11" s="14" t="n">
        <v>2476</v>
      </c>
      <c r="J11" s="14" t="n">
        <v>2120</v>
      </c>
      <c r="K11" s="14" t="n">
        <v>1827</v>
      </c>
      <c r="L11" s="14" t="n">
        <v>1712</v>
      </c>
      <c r="M11" s="14" t="n">
        <v>1600</v>
      </c>
      <c r="N11" s="14" t="n">
        <v>1550</v>
      </c>
      <c r="O11" s="14" t="n">
        <v>1500</v>
      </c>
      <c r="P11" s="14" t="n">
        <v>1500</v>
      </c>
      <c r="Q11" s="14" t="n">
        <v>1500</v>
      </c>
      <c r="R11" s="14" t="n">
        <v>1500</v>
      </c>
    </row>
    <row r="12">
      <c r="B12" s="10" t="n"/>
      <c r="C12" s="10" t="n"/>
      <c r="D12" s="12" t="inlineStr">
        <is>
          <t>규제크레딧</t>
        </is>
      </c>
      <c r="E12" s="10" t="n"/>
      <c r="F12" s="10" t="n"/>
      <c r="G12" s="9" t="inlineStr">
        <is>
          <t>reg_credits</t>
        </is>
      </c>
      <c r="H12" s="13" t="inlineStr">
        <is>
          <t>백만$</t>
        </is>
      </c>
      <c r="I12" s="14" t="n">
        <v>1776</v>
      </c>
      <c r="J12" s="14" t="n">
        <v>1790</v>
      </c>
      <c r="K12" s="14" t="n">
        <v>2763</v>
      </c>
      <c r="L12" s="14" t="n">
        <v>1993</v>
      </c>
      <c r="M12" s="14" t="n">
        <v>1200</v>
      </c>
      <c r="N12" s="14" t="n">
        <v>700</v>
      </c>
      <c r="O12" s="14" t="n">
        <v>400</v>
      </c>
      <c r="P12" s="14" t="n">
        <v>200</v>
      </c>
      <c r="Q12" s="14" t="n">
        <v>100</v>
      </c>
      <c r="R12" s="14" t="n">
        <v>0</v>
      </c>
    </row>
    <row r="13">
      <c r="B13" s="10" t="n"/>
      <c r="C13" s="10" t="n"/>
      <c r="D13" s="12" t="inlineStr">
        <is>
          <t>저장 배포량</t>
        </is>
      </c>
      <c r="E13" s="10" t="n"/>
      <c r="F13" s="10" t="n"/>
      <c r="G13" s="9" t="inlineStr">
        <is>
          <t>storage_gwh</t>
        </is>
      </c>
      <c r="H13" s="13" t="inlineStr">
        <is>
          <t>GWh</t>
        </is>
      </c>
      <c r="I13" s="14" t="n">
        <v>6.5</v>
      </c>
      <c r="J13" s="14" t="n">
        <v>14.7</v>
      </c>
      <c r="K13" s="14" t="n">
        <v>31.4</v>
      </c>
      <c r="L13" s="14" t="n">
        <v>46.7</v>
      </c>
      <c r="M13" s="14" t="n">
        <v>70</v>
      </c>
      <c r="N13" s="14" t="n">
        <v>98</v>
      </c>
      <c r="O13" s="14" t="n">
        <v>127</v>
      </c>
      <c r="P13" s="14" t="n">
        <v>160</v>
      </c>
      <c r="Q13" s="14" t="n">
        <v>195</v>
      </c>
      <c r="R13" s="14" t="n">
        <v>230</v>
      </c>
    </row>
    <row r="14">
      <c r="B14" s="10" t="n"/>
      <c r="C14" s="10" t="n"/>
      <c r="D14" s="12" t="inlineStr">
        <is>
          <t>단위매출</t>
        </is>
      </c>
      <c r="E14" s="10" t="n"/>
      <c r="F14" s="10" t="n"/>
      <c r="G14" s="9" t="inlineStr">
        <is>
          <t>energy_rev_per_gwh</t>
        </is>
      </c>
      <c r="H14" s="13" t="inlineStr">
        <is>
          <t>백만$/GWh</t>
        </is>
      </c>
      <c r="I14" s="14" t="n">
        <v>601.38</v>
      </c>
      <c r="J14" s="14" t="n">
        <v>410.54</v>
      </c>
      <c r="K14" s="14" t="n">
        <v>321.21</v>
      </c>
      <c r="L14" s="14" t="n">
        <v>273.47</v>
      </c>
      <c r="M14" s="14" t="n">
        <v>255</v>
      </c>
      <c r="N14" s="14" t="n">
        <v>240</v>
      </c>
      <c r="O14" s="14" t="n">
        <v>230</v>
      </c>
      <c r="P14" s="14" t="n">
        <v>222</v>
      </c>
      <c r="Q14" s="14" t="n">
        <v>215</v>
      </c>
      <c r="R14" s="14" t="n">
        <v>210</v>
      </c>
    </row>
    <row r="15">
      <c r="B15" s="10" t="n"/>
      <c r="C15" s="10" t="n"/>
      <c r="D15" s="12" t="inlineStr">
        <is>
          <t>누적 보유대수</t>
        </is>
      </c>
      <c r="E15" s="10" t="n"/>
      <c r="F15" s="10" t="n"/>
      <c r="G15" s="9" t="inlineStr">
        <is>
          <t>installed_base</t>
        </is>
      </c>
      <c r="H15" s="13" t="inlineStr">
        <is>
          <t>백만대</t>
        </is>
      </c>
      <c r="I15" s="14" t="n">
        <v>3.6539</v>
      </c>
      <c r="J15" s="14" t="n">
        <v>5.4624</v>
      </c>
      <c r="K15" s="14" t="n">
        <v>7.2517</v>
      </c>
      <c r="L15" s="14" t="n">
        <v>8.8878</v>
      </c>
      <c r="M15" s="14" t="n">
        <v>10.6478</v>
      </c>
      <c r="N15" s="14" t="n">
        <v>12.7178</v>
      </c>
      <c r="O15" s="14" t="n">
        <v>15.0428</v>
      </c>
      <c r="P15" s="14" t="n">
        <v>17.6728</v>
      </c>
      <c r="Q15" s="14" t="n">
        <v>20.5578</v>
      </c>
      <c r="R15" s="14" t="n">
        <v>23.6978</v>
      </c>
    </row>
    <row r="16">
      <c r="B16" s="10" t="n"/>
      <c r="C16" s="10" t="n"/>
      <c r="D16" s="12" t="inlineStr">
        <is>
          <t>대당 연 서비스매출</t>
        </is>
      </c>
      <c r="E16" s="10" t="n"/>
      <c r="F16" s="10" t="n"/>
      <c r="G16" s="9" t="inlineStr">
        <is>
          <t>service_per_unit</t>
        </is>
      </c>
      <c r="H16" s="13" t="inlineStr">
        <is>
          <t>$/대</t>
        </is>
      </c>
      <c r="I16" s="14" t="n">
        <v>1667</v>
      </c>
      <c r="J16" s="14" t="n">
        <v>1523</v>
      </c>
      <c r="K16" s="14" t="n">
        <v>1452.6</v>
      </c>
      <c r="L16" s="14" t="n">
        <v>1409.8</v>
      </c>
      <c r="M16" s="14" t="n">
        <v>1400</v>
      </c>
      <c r="N16" s="14" t="n">
        <v>1400</v>
      </c>
      <c r="O16" s="14" t="n">
        <v>1420</v>
      </c>
      <c r="P16" s="14" t="n">
        <v>1430</v>
      </c>
      <c r="Q16" s="14" t="n">
        <v>1440</v>
      </c>
      <c r="R16" s="14" t="n">
        <v>1450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4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" customWidth="1" min="3" max="3"/>
    <col width="1" customWidth="1" min="4" max="4"/>
    <col width="1" customWidth="1" min="5" max="5"/>
    <col width="32" customWidth="1" min="6" max="6"/>
    <col width="22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6.5" customHeight="1">
      <c r="B1" s="1" t="inlineStr">
        <is>
          <t>Model</t>
        </is>
      </c>
    </row>
    <row r="2">
      <c r="I2" s="15" t="inlineStr">
        <is>
          <t>Unit: source units from HTML IR</t>
        </is>
      </c>
    </row>
    <row r="3">
      <c r="I3" s="5" t="inlineStr">
        <is>
          <t>Historical</t>
        </is>
      </c>
      <c r="J3" s="5" t="n"/>
      <c r="K3" s="5" t="n"/>
      <c r="L3" s="5" t="n"/>
      <c r="M3" s="6" t="inlineStr">
        <is>
          <t>Forecast</t>
        </is>
      </c>
      <c r="N3" s="6" t="n"/>
      <c r="O3" s="6" t="n"/>
      <c r="P3" s="6" t="n"/>
      <c r="Q3" s="6" t="n"/>
      <c r="R3" s="6" t="n"/>
    </row>
    <row r="4">
      <c r="G4" s="16" t="inlineStr">
        <is>
          <t>ID</t>
        </is>
      </c>
      <c r="H4" s="16" t="inlineStr">
        <is>
          <t>Unit</t>
        </is>
      </c>
      <c r="I4" s="7" t="inlineStr">
        <is>
          <t>2022</t>
        </is>
      </c>
      <c r="J4" s="7" t="inlineStr">
        <is>
          <t>2023</t>
        </is>
      </c>
      <c r="K4" s="7" t="inlineStr">
        <is>
          <t>2024</t>
        </is>
      </c>
      <c r="L4" s="7" t="inlineStr">
        <is>
          <t>2025</t>
        </is>
      </c>
      <c r="M4" s="7" t="inlineStr">
        <is>
          <t>2026</t>
        </is>
      </c>
      <c r="N4" s="7" t="inlineStr">
        <is>
          <t>2027</t>
        </is>
      </c>
      <c r="O4" s="7" t="inlineStr">
        <is>
          <t>2028</t>
        </is>
      </c>
      <c r="P4" s="7" t="inlineStr">
        <is>
          <t>2029</t>
        </is>
      </c>
      <c r="Q4" s="7" t="inlineStr">
        <is>
          <t>2030</t>
        </is>
      </c>
      <c r="R4" s="7" t="inlineStr">
        <is>
          <t>2031</t>
        </is>
      </c>
    </row>
    <row r="5">
      <c r="B5" s="17" t="inlineStr">
        <is>
          <t>테슬라 총매출</t>
        </is>
      </c>
      <c r="C5" s="18" t="n"/>
      <c r="D5" s="18" t="n"/>
      <c r="E5" s="18" t="n"/>
      <c r="F5" s="18" t="n"/>
      <c r="G5" s="19" t="inlineStr">
        <is>
          <t>root</t>
        </is>
      </c>
      <c r="H5" s="20" t="inlineStr">
        <is>
          <t>백만$</t>
        </is>
      </c>
      <c r="I5" s="21">
        <f>((I6+I19)+I22)</f>
        <v/>
      </c>
      <c r="J5" s="21">
        <f>((J6+J19)+J22)</f>
        <v/>
      </c>
      <c r="K5" s="21">
        <f>((K6+K19)+K22)</f>
        <v/>
      </c>
      <c r="L5" s="21">
        <f>((L6+L19)+L22)</f>
        <v/>
      </c>
      <c r="M5" s="21">
        <f>((M6+M19)+M22)</f>
        <v/>
      </c>
      <c r="N5" s="21">
        <f>((N6+N19)+N22)</f>
        <v/>
      </c>
      <c r="O5" s="21">
        <f>((O6+O19)+O22)</f>
        <v/>
      </c>
      <c r="P5" s="21">
        <f>((P6+P19)+P22)</f>
        <v/>
      </c>
      <c r="Q5" s="21">
        <f>((Q6+Q19)+Q22)</f>
        <v/>
      </c>
      <c r="R5" s="21">
        <f>((R6+R19)+R22)</f>
        <v/>
      </c>
    </row>
    <row r="6">
      <c r="B6" s="22" t="n"/>
      <c r="C6" s="23" t="inlineStr">
        <is>
          <t>① Automotive</t>
        </is>
      </c>
      <c r="D6" s="22" t="n"/>
      <c r="E6" s="22" t="n"/>
      <c r="F6" s="22" t="n"/>
      <c r="G6" s="24" t="inlineStr">
        <is>
          <t>auto_total</t>
        </is>
      </c>
      <c r="H6" s="25" t="inlineStr">
        <is>
          <t>백만$</t>
        </is>
      </c>
      <c r="I6" s="26">
        <f>((I7+I17)+I18)</f>
        <v/>
      </c>
      <c r="J6" s="26">
        <f>((J7+J17)+J18)</f>
        <v/>
      </c>
      <c r="K6" s="26">
        <f>((K7+K17)+K18)</f>
        <v/>
      </c>
      <c r="L6" s="26">
        <f>((L7+L17)+L18)</f>
        <v/>
      </c>
      <c r="M6" s="26">
        <f>((M7+M17)+M18)</f>
        <v/>
      </c>
      <c r="N6" s="26">
        <f>((N7+N17)+N18)</f>
        <v/>
      </c>
      <c r="O6" s="26">
        <f>((O7+O17)+O18)</f>
        <v/>
      </c>
      <c r="P6" s="26">
        <f>((P7+P17)+P18)</f>
        <v/>
      </c>
      <c r="Q6" s="26">
        <f>((Q7+Q17)+Q18)</f>
        <v/>
      </c>
      <c r="R6" s="26">
        <f>((R7+R17)+R18)</f>
        <v/>
      </c>
    </row>
    <row r="7">
      <c r="B7" s="10" t="n"/>
      <c r="C7" s="10" t="n"/>
      <c r="D7" s="12" t="inlineStr">
        <is>
          <t>차량판매</t>
        </is>
      </c>
      <c r="E7" s="10" t="n"/>
      <c r="F7" s="10" t="n"/>
      <c r="G7" s="9" t="inlineStr">
        <is>
          <t>auto_sales</t>
        </is>
      </c>
      <c r="H7" s="13" t="inlineStr">
        <is>
          <t>백만$</t>
        </is>
      </c>
      <c r="I7" s="27">
        <f>((I8+I11)+I14)</f>
        <v/>
      </c>
      <c r="J7" s="27">
        <f>((J8+J11)+J14)</f>
        <v/>
      </c>
      <c r="K7" s="27">
        <f>((K8+K11)+K14)</f>
        <v/>
      </c>
      <c r="L7" s="27">
        <f>((L8+L11)+L14)</f>
        <v/>
      </c>
      <c r="M7" s="27">
        <f>((M8+M11)+M14)</f>
        <v/>
      </c>
      <c r="N7" s="27">
        <f>((N8+N11)+N14)</f>
        <v/>
      </c>
      <c r="O7" s="27">
        <f>((O8+O11)+O14)</f>
        <v/>
      </c>
      <c r="P7" s="27">
        <f>((P8+P11)+P14)</f>
        <v/>
      </c>
      <c r="Q7" s="27">
        <f>((Q8+Q11)+Q14)</f>
        <v/>
      </c>
      <c r="R7" s="27">
        <f>((R8+R11)+R14)</f>
        <v/>
      </c>
    </row>
    <row r="8">
      <c r="B8" s="10" t="n"/>
      <c r="C8" s="10" t="n"/>
      <c r="D8" s="10" t="n"/>
      <c r="E8" s="12" t="inlineStr">
        <is>
          <t>Model 3/Y 매출</t>
        </is>
      </c>
      <c r="F8" s="10" t="n"/>
      <c r="G8" s="9" t="inlineStr">
        <is>
          <t>sales_3y</t>
        </is>
      </c>
      <c r="H8" s="13" t="inlineStr">
        <is>
          <t>백만$</t>
        </is>
      </c>
      <c r="I8" s="27">
        <f>(I9*I10)</f>
        <v/>
      </c>
      <c r="J8" s="27">
        <f>(J9*J10)</f>
        <v/>
      </c>
      <c r="K8" s="27">
        <f>(K9*K10)</f>
        <v/>
      </c>
      <c r="L8" s="27">
        <f>(L9*L10)</f>
        <v/>
      </c>
      <c r="M8" s="27">
        <f>(M9*M10)</f>
        <v/>
      </c>
      <c r="N8" s="27">
        <f>(N9*N10)</f>
        <v/>
      </c>
      <c r="O8" s="27">
        <f>(O9*O10)</f>
        <v/>
      </c>
      <c r="P8" s="27">
        <f>(P9*P10)</f>
        <v/>
      </c>
      <c r="Q8" s="27">
        <f>(Q9*Q10)</f>
        <v/>
      </c>
      <c r="R8" s="27">
        <f>(R9*R10)</f>
        <v/>
      </c>
    </row>
    <row r="9">
      <c r="B9" s="10" t="n"/>
      <c r="C9" s="10" t="n"/>
      <c r="D9" s="10" t="n"/>
      <c r="E9" s="10" t="n"/>
      <c r="F9" s="12" t="inlineStr">
        <is>
          <t>Model 3/Y 인도량</t>
        </is>
      </c>
      <c r="G9" s="9" t="inlineStr">
        <is>
          <t>del_3y</t>
        </is>
      </c>
      <c r="H9" s="13" t="inlineStr">
        <is>
          <t>천대</t>
        </is>
      </c>
      <c r="I9" s="11">
        <f>'Assumptions'!I5</f>
        <v/>
      </c>
      <c r="J9" s="11">
        <f>'Assumptions'!J5</f>
        <v/>
      </c>
      <c r="K9" s="11">
        <f>'Assumptions'!K5</f>
        <v/>
      </c>
      <c r="L9" s="11">
        <f>'Assumptions'!L5</f>
        <v/>
      </c>
      <c r="M9" s="11">
        <f>'Assumptions'!M5</f>
        <v/>
      </c>
      <c r="N9" s="11">
        <f>'Assumptions'!N5</f>
        <v/>
      </c>
      <c r="O9" s="11">
        <f>'Assumptions'!O5</f>
        <v/>
      </c>
      <c r="P9" s="11">
        <f>'Assumptions'!P5</f>
        <v/>
      </c>
      <c r="Q9" s="11">
        <f>'Assumptions'!Q5</f>
        <v/>
      </c>
      <c r="R9" s="11">
        <f>'Assumptions'!R5</f>
        <v/>
      </c>
    </row>
    <row r="10">
      <c r="B10" s="10" t="n"/>
      <c r="C10" s="10" t="n"/>
      <c r="D10" s="10" t="n"/>
      <c r="E10" s="10" t="n"/>
      <c r="F10" s="12" t="inlineStr">
        <is>
          <t>Model 3/Y ASP</t>
        </is>
      </c>
      <c r="G10" s="9" t="inlineStr">
        <is>
          <t>asp_3y</t>
        </is>
      </c>
      <c r="H10" s="13" t="inlineStr">
        <is>
          <t>천$/대</t>
        </is>
      </c>
      <c r="I10" s="11">
        <f>'Assumptions'!I6</f>
        <v/>
      </c>
      <c r="J10" s="11">
        <f>'Assumptions'!J6</f>
        <v/>
      </c>
      <c r="K10" s="11">
        <f>'Assumptions'!K6</f>
        <v/>
      </c>
      <c r="L10" s="11">
        <f>'Assumptions'!L6</f>
        <v/>
      </c>
      <c r="M10" s="11">
        <f>'Assumptions'!M6</f>
        <v/>
      </c>
      <c r="N10" s="11">
        <f>'Assumptions'!N6</f>
        <v/>
      </c>
      <c r="O10" s="11">
        <f>'Assumptions'!O6</f>
        <v/>
      </c>
      <c r="P10" s="11">
        <f>'Assumptions'!P6</f>
        <v/>
      </c>
      <c r="Q10" s="11">
        <f>'Assumptions'!Q6</f>
        <v/>
      </c>
      <c r="R10" s="11">
        <f>'Assumptions'!R6</f>
        <v/>
      </c>
    </row>
    <row r="11">
      <c r="B11" s="10" t="n"/>
      <c r="C11" s="10" t="n"/>
      <c r="D11" s="10" t="n"/>
      <c r="E11" s="12" t="inlineStr">
        <is>
          <t>S/X·Cybertruck 매출</t>
        </is>
      </c>
      <c r="F11" s="10" t="n"/>
      <c r="G11" s="9" t="inlineStr">
        <is>
          <t>sales_sxc</t>
        </is>
      </c>
      <c r="H11" s="13" t="inlineStr">
        <is>
          <t>백만$</t>
        </is>
      </c>
      <c r="I11" s="27">
        <f>(I12*I13)</f>
        <v/>
      </c>
      <c r="J11" s="27">
        <f>(J12*J13)</f>
        <v/>
      </c>
      <c r="K11" s="27">
        <f>(K12*K13)</f>
        <v/>
      </c>
      <c r="L11" s="27">
        <f>(L12*L13)</f>
        <v/>
      </c>
      <c r="M11" s="27">
        <f>(M12*M13)</f>
        <v/>
      </c>
      <c r="N11" s="27">
        <f>(N12*N13)</f>
        <v/>
      </c>
      <c r="O11" s="27">
        <f>(O12*O13)</f>
        <v/>
      </c>
      <c r="P11" s="27">
        <f>(P12*P13)</f>
        <v/>
      </c>
      <c r="Q11" s="27">
        <f>(Q12*Q13)</f>
        <v/>
      </c>
      <c r="R11" s="27">
        <f>(R12*R13)</f>
        <v/>
      </c>
    </row>
    <row r="12">
      <c r="B12" s="10" t="n"/>
      <c r="C12" s="10" t="n"/>
      <c r="D12" s="10" t="n"/>
      <c r="E12" s="10" t="n"/>
      <c r="F12" s="12" t="inlineStr">
        <is>
          <t>S/X·Cybertruck 인도량</t>
        </is>
      </c>
      <c r="G12" s="9" t="inlineStr">
        <is>
          <t>del_sxc</t>
        </is>
      </c>
      <c r="H12" s="13" t="inlineStr">
        <is>
          <t>천대</t>
        </is>
      </c>
      <c r="I12" s="11">
        <f>'Assumptions'!I7</f>
        <v/>
      </c>
      <c r="J12" s="11">
        <f>'Assumptions'!J7</f>
        <v/>
      </c>
      <c r="K12" s="11">
        <f>'Assumptions'!K7</f>
        <v/>
      </c>
      <c r="L12" s="11">
        <f>'Assumptions'!L7</f>
        <v/>
      </c>
      <c r="M12" s="11">
        <f>'Assumptions'!M7</f>
        <v/>
      </c>
      <c r="N12" s="11">
        <f>'Assumptions'!N7</f>
        <v/>
      </c>
      <c r="O12" s="11">
        <f>'Assumptions'!O7</f>
        <v/>
      </c>
      <c r="P12" s="11">
        <f>'Assumptions'!P7</f>
        <v/>
      </c>
      <c r="Q12" s="11">
        <f>'Assumptions'!Q7</f>
        <v/>
      </c>
      <c r="R12" s="11">
        <f>'Assumptions'!R7</f>
        <v/>
      </c>
    </row>
    <row r="13">
      <c r="B13" s="10" t="n"/>
      <c r="C13" s="10" t="n"/>
      <c r="D13" s="10" t="n"/>
      <c r="E13" s="10" t="n"/>
      <c r="F13" s="12" t="inlineStr">
        <is>
          <t>S/X·Cybertruck ASP</t>
        </is>
      </c>
      <c r="G13" s="9" t="inlineStr">
        <is>
          <t>asp_sxc</t>
        </is>
      </c>
      <c r="H13" s="13" t="inlineStr">
        <is>
          <t>천$/대</t>
        </is>
      </c>
      <c r="I13" s="11">
        <f>'Assumptions'!I8</f>
        <v/>
      </c>
      <c r="J13" s="11">
        <f>'Assumptions'!J8</f>
        <v/>
      </c>
      <c r="K13" s="11">
        <f>'Assumptions'!K8</f>
        <v/>
      </c>
      <c r="L13" s="11">
        <f>'Assumptions'!L8</f>
        <v/>
      </c>
      <c r="M13" s="11">
        <f>'Assumptions'!M8</f>
        <v/>
      </c>
      <c r="N13" s="11">
        <f>'Assumptions'!N8</f>
        <v/>
      </c>
      <c r="O13" s="11">
        <f>'Assumptions'!O8</f>
        <v/>
      </c>
      <c r="P13" s="11">
        <f>'Assumptions'!P8</f>
        <v/>
      </c>
      <c r="Q13" s="11">
        <f>'Assumptions'!Q8</f>
        <v/>
      </c>
      <c r="R13" s="11">
        <f>'Assumptions'!R8</f>
        <v/>
      </c>
    </row>
    <row r="14">
      <c r="B14" s="10" t="n"/>
      <c r="C14" s="10" t="n"/>
      <c r="D14" s="10" t="n"/>
      <c r="E14" s="12" t="inlineStr">
        <is>
          <t>신규 저가모델 매출</t>
        </is>
      </c>
      <c r="F14" s="10" t="n"/>
      <c r="G14" s="9" t="inlineStr">
        <is>
          <t>sales_new</t>
        </is>
      </c>
      <c r="H14" s="13" t="inlineStr">
        <is>
          <t>백만$</t>
        </is>
      </c>
      <c r="I14" s="27">
        <f>(I15*I16)</f>
        <v/>
      </c>
      <c r="J14" s="27">
        <f>(J15*J16)</f>
        <v/>
      </c>
      <c r="K14" s="27">
        <f>(K15*K16)</f>
        <v/>
      </c>
      <c r="L14" s="27">
        <f>(L15*L16)</f>
        <v/>
      </c>
      <c r="M14" s="27">
        <f>(M15*M16)</f>
        <v/>
      </c>
      <c r="N14" s="27">
        <f>(N15*N16)</f>
        <v/>
      </c>
      <c r="O14" s="27">
        <f>(O15*O16)</f>
        <v/>
      </c>
      <c r="P14" s="27">
        <f>(P15*P16)</f>
        <v/>
      </c>
      <c r="Q14" s="27">
        <f>(Q15*Q16)</f>
        <v/>
      </c>
      <c r="R14" s="27">
        <f>(R15*R16)</f>
        <v/>
      </c>
    </row>
    <row r="15">
      <c r="B15" s="10" t="n"/>
      <c r="C15" s="10" t="n"/>
      <c r="D15" s="10" t="n"/>
      <c r="E15" s="10" t="n"/>
      <c r="F15" s="12" t="inlineStr">
        <is>
          <t>신규 저가모델 인도량</t>
        </is>
      </c>
      <c r="G15" s="9" t="inlineStr">
        <is>
          <t>del_new</t>
        </is>
      </c>
      <c r="H15" s="13" t="inlineStr">
        <is>
          <t>천대</t>
        </is>
      </c>
      <c r="I15" s="11">
        <f>'Assumptions'!I9</f>
        <v/>
      </c>
      <c r="J15" s="11">
        <f>'Assumptions'!J9</f>
        <v/>
      </c>
      <c r="K15" s="11">
        <f>'Assumptions'!K9</f>
        <v/>
      </c>
      <c r="L15" s="11">
        <f>'Assumptions'!L9</f>
        <v/>
      </c>
      <c r="M15" s="11">
        <f>'Assumptions'!M9</f>
        <v/>
      </c>
      <c r="N15" s="11">
        <f>'Assumptions'!N9</f>
        <v/>
      </c>
      <c r="O15" s="11">
        <f>'Assumptions'!O9</f>
        <v/>
      </c>
      <c r="P15" s="11">
        <f>'Assumptions'!P9</f>
        <v/>
      </c>
      <c r="Q15" s="11">
        <f>'Assumptions'!Q9</f>
        <v/>
      </c>
      <c r="R15" s="11">
        <f>'Assumptions'!R9</f>
        <v/>
      </c>
    </row>
    <row r="16">
      <c r="B16" s="10" t="n"/>
      <c r="C16" s="10" t="n"/>
      <c r="D16" s="10" t="n"/>
      <c r="E16" s="10" t="n"/>
      <c r="F16" s="12" t="inlineStr">
        <is>
          <t>신규 저가모델 ASP</t>
        </is>
      </c>
      <c r="G16" s="9" t="inlineStr">
        <is>
          <t>asp_new</t>
        </is>
      </c>
      <c r="H16" s="13" t="inlineStr">
        <is>
          <t>천$/대</t>
        </is>
      </c>
      <c r="I16" s="11">
        <f>'Assumptions'!I10</f>
        <v/>
      </c>
      <c r="J16" s="11">
        <f>'Assumptions'!J10</f>
        <v/>
      </c>
      <c r="K16" s="11">
        <f>'Assumptions'!K10</f>
        <v/>
      </c>
      <c r="L16" s="11">
        <f>'Assumptions'!L10</f>
        <v/>
      </c>
      <c r="M16" s="11">
        <f>'Assumptions'!M10</f>
        <v/>
      </c>
      <c r="N16" s="11">
        <f>'Assumptions'!N10</f>
        <v/>
      </c>
      <c r="O16" s="11">
        <f>'Assumptions'!O10</f>
        <v/>
      </c>
      <c r="P16" s="11">
        <f>'Assumptions'!P10</f>
        <v/>
      </c>
      <c r="Q16" s="11">
        <f>'Assumptions'!Q10</f>
        <v/>
      </c>
      <c r="R16" s="11">
        <f>'Assumptions'!R10</f>
        <v/>
      </c>
    </row>
    <row r="17">
      <c r="B17" s="10" t="n"/>
      <c r="C17" s="10" t="n"/>
      <c r="D17" s="12" t="inlineStr">
        <is>
          <t>리스(Leasing)</t>
        </is>
      </c>
      <c r="E17" s="10" t="n"/>
      <c r="F17" s="10" t="n"/>
      <c r="G17" s="9" t="inlineStr">
        <is>
          <t>auto_leasing</t>
        </is>
      </c>
      <c r="H17" s="13" t="inlineStr">
        <is>
          <t>백만$</t>
        </is>
      </c>
      <c r="I17" s="11">
        <f>'Assumptions'!I11</f>
        <v/>
      </c>
      <c r="J17" s="11">
        <f>'Assumptions'!J11</f>
        <v/>
      </c>
      <c r="K17" s="11">
        <f>'Assumptions'!K11</f>
        <v/>
      </c>
      <c r="L17" s="11">
        <f>'Assumptions'!L11</f>
        <v/>
      </c>
      <c r="M17" s="11">
        <f>'Assumptions'!M11</f>
        <v/>
      </c>
      <c r="N17" s="11">
        <f>'Assumptions'!N11</f>
        <v/>
      </c>
      <c r="O17" s="11">
        <f>'Assumptions'!O11</f>
        <v/>
      </c>
      <c r="P17" s="11">
        <f>'Assumptions'!P11</f>
        <v/>
      </c>
      <c r="Q17" s="11">
        <f>'Assumptions'!Q11</f>
        <v/>
      </c>
      <c r="R17" s="11">
        <f>'Assumptions'!R11</f>
        <v/>
      </c>
    </row>
    <row r="18">
      <c r="B18" s="10" t="n"/>
      <c r="C18" s="10" t="n"/>
      <c r="D18" s="12" t="inlineStr">
        <is>
          <t>규제크레딧</t>
        </is>
      </c>
      <c r="E18" s="10" t="n"/>
      <c r="F18" s="10" t="n"/>
      <c r="G18" s="9" t="inlineStr">
        <is>
          <t>reg_credits</t>
        </is>
      </c>
      <c r="H18" s="13" t="inlineStr">
        <is>
          <t>백만$</t>
        </is>
      </c>
      <c r="I18" s="11">
        <f>'Assumptions'!I12</f>
        <v/>
      </c>
      <c r="J18" s="11">
        <f>'Assumptions'!J12</f>
        <v/>
      </c>
      <c r="K18" s="11">
        <f>'Assumptions'!K12</f>
        <v/>
      </c>
      <c r="L18" s="11">
        <f>'Assumptions'!L12</f>
        <v/>
      </c>
      <c r="M18" s="11">
        <f>'Assumptions'!M12</f>
        <v/>
      </c>
      <c r="N18" s="11">
        <f>'Assumptions'!N12</f>
        <v/>
      </c>
      <c r="O18" s="11">
        <f>'Assumptions'!O12</f>
        <v/>
      </c>
      <c r="P18" s="11">
        <f>'Assumptions'!P12</f>
        <v/>
      </c>
      <c r="Q18" s="11">
        <f>'Assumptions'!Q12</f>
        <v/>
      </c>
      <c r="R18" s="11">
        <f>'Assumptions'!R12</f>
        <v/>
      </c>
    </row>
    <row r="19">
      <c r="B19" s="22" t="n"/>
      <c r="C19" s="23" t="inlineStr">
        <is>
          <t>② Energy</t>
        </is>
      </c>
      <c r="D19" s="22" t="n"/>
      <c r="E19" s="22" t="n"/>
      <c r="F19" s="22" t="n"/>
      <c r="G19" s="24" t="inlineStr">
        <is>
          <t>energy_total</t>
        </is>
      </c>
      <c r="H19" s="25" t="inlineStr">
        <is>
          <t>백만$</t>
        </is>
      </c>
      <c r="I19" s="26">
        <f>(I20*I21)</f>
        <v/>
      </c>
      <c r="J19" s="26">
        <f>(J20*J21)</f>
        <v/>
      </c>
      <c r="K19" s="26">
        <f>(K20*K21)</f>
        <v/>
      </c>
      <c r="L19" s="26">
        <f>(L20*L21)</f>
        <v/>
      </c>
      <c r="M19" s="26">
        <f>(M20*M21)</f>
        <v/>
      </c>
      <c r="N19" s="26">
        <f>(N20*N21)</f>
        <v/>
      </c>
      <c r="O19" s="26">
        <f>(O20*O21)</f>
        <v/>
      </c>
      <c r="P19" s="26">
        <f>(P20*P21)</f>
        <v/>
      </c>
      <c r="Q19" s="26">
        <f>(Q20*Q21)</f>
        <v/>
      </c>
      <c r="R19" s="26">
        <f>(R20*R21)</f>
        <v/>
      </c>
    </row>
    <row r="20">
      <c r="B20" s="10" t="n"/>
      <c r="C20" s="10" t="n"/>
      <c r="D20" s="12" t="inlineStr">
        <is>
          <t>저장 배포량</t>
        </is>
      </c>
      <c r="E20" s="10" t="n"/>
      <c r="F20" s="10" t="n"/>
      <c r="G20" s="9" t="inlineStr">
        <is>
          <t>storage_gwh</t>
        </is>
      </c>
      <c r="H20" s="13" t="inlineStr">
        <is>
          <t>GWh</t>
        </is>
      </c>
      <c r="I20" s="11">
        <f>'Assumptions'!I13</f>
        <v/>
      </c>
      <c r="J20" s="11">
        <f>'Assumptions'!J13</f>
        <v/>
      </c>
      <c r="K20" s="11">
        <f>'Assumptions'!K13</f>
        <v/>
      </c>
      <c r="L20" s="11">
        <f>'Assumptions'!L13</f>
        <v/>
      </c>
      <c r="M20" s="11">
        <f>'Assumptions'!M13</f>
        <v/>
      </c>
      <c r="N20" s="11">
        <f>'Assumptions'!N13</f>
        <v/>
      </c>
      <c r="O20" s="11">
        <f>'Assumptions'!O13</f>
        <v/>
      </c>
      <c r="P20" s="11">
        <f>'Assumptions'!P13</f>
        <v/>
      </c>
      <c r="Q20" s="11">
        <f>'Assumptions'!Q13</f>
        <v/>
      </c>
      <c r="R20" s="11">
        <f>'Assumptions'!R13</f>
        <v/>
      </c>
    </row>
    <row r="21">
      <c r="B21" s="10" t="n"/>
      <c r="C21" s="10" t="n"/>
      <c r="D21" s="12" t="inlineStr">
        <is>
          <t>단위매출</t>
        </is>
      </c>
      <c r="E21" s="10" t="n"/>
      <c r="F21" s="10" t="n"/>
      <c r="G21" s="9" t="inlineStr">
        <is>
          <t>energy_rev_per_gwh</t>
        </is>
      </c>
      <c r="H21" s="13" t="inlineStr">
        <is>
          <t>백만$/GWh</t>
        </is>
      </c>
      <c r="I21" s="11">
        <f>'Assumptions'!I14</f>
        <v/>
      </c>
      <c r="J21" s="11">
        <f>'Assumptions'!J14</f>
        <v/>
      </c>
      <c r="K21" s="11">
        <f>'Assumptions'!K14</f>
        <v/>
      </c>
      <c r="L21" s="11">
        <f>'Assumptions'!L14</f>
        <v/>
      </c>
      <c r="M21" s="11">
        <f>'Assumptions'!M14</f>
        <v/>
      </c>
      <c r="N21" s="11">
        <f>'Assumptions'!N14</f>
        <v/>
      </c>
      <c r="O21" s="11">
        <f>'Assumptions'!O14</f>
        <v/>
      </c>
      <c r="P21" s="11">
        <f>'Assumptions'!P14</f>
        <v/>
      </c>
      <c r="Q21" s="11">
        <f>'Assumptions'!Q14</f>
        <v/>
      </c>
      <c r="R21" s="11">
        <f>'Assumptions'!R14</f>
        <v/>
      </c>
    </row>
    <row r="22">
      <c r="B22" s="22" t="n"/>
      <c r="C22" s="23" t="inlineStr">
        <is>
          <t>③ Services</t>
        </is>
      </c>
      <c r="D22" s="22" t="n"/>
      <c r="E22" s="22" t="n"/>
      <c r="F22" s="22" t="n"/>
      <c r="G22" s="24" t="inlineStr">
        <is>
          <t>services_total</t>
        </is>
      </c>
      <c r="H22" s="25" t="inlineStr">
        <is>
          <t>백만$</t>
        </is>
      </c>
      <c r="I22" s="26">
        <f>(I23*I24)</f>
        <v/>
      </c>
      <c r="J22" s="26">
        <f>(J23*J24)</f>
        <v/>
      </c>
      <c r="K22" s="26">
        <f>(K23*K24)</f>
        <v/>
      </c>
      <c r="L22" s="26">
        <f>(L23*L24)</f>
        <v/>
      </c>
      <c r="M22" s="26">
        <f>(M23*M24)</f>
        <v/>
      </c>
      <c r="N22" s="26">
        <f>(N23*N24)</f>
        <v/>
      </c>
      <c r="O22" s="26">
        <f>(O23*O24)</f>
        <v/>
      </c>
      <c r="P22" s="26">
        <f>(P23*P24)</f>
        <v/>
      </c>
      <c r="Q22" s="26">
        <f>(Q23*Q24)</f>
        <v/>
      </c>
      <c r="R22" s="26">
        <f>(R23*R24)</f>
        <v/>
      </c>
    </row>
    <row r="23">
      <c r="B23" s="10" t="n"/>
      <c r="C23" s="10" t="n"/>
      <c r="D23" s="12" t="inlineStr">
        <is>
          <t>누적 보유대수</t>
        </is>
      </c>
      <c r="E23" s="10" t="n"/>
      <c r="F23" s="10" t="n"/>
      <c r="G23" s="9" t="inlineStr">
        <is>
          <t>installed_base</t>
        </is>
      </c>
      <c r="H23" s="13" t="inlineStr">
        <is>
          <t>백만대</t>
        </is>
      </c>
      <c r="I23" s="11">
        <f>'Assumptions'!I15</f>
        <v/>
      </c>
      <c r="J23" s="11">
        <f>'Assumptions'!J15</f>
        <v/>
      </c>
      <c r="K23" s="11">
        <f>'Assumptions'!K15</f>
        <v/>
      </c>
      <c r="L23" s="11">
        <f>'Assumptions'!L15</f>
        <v/>
      </c>
      <c r="M23" s="11">
        <f>'Assumptions'!M15</f>
        <v/>
      </c>
      <c r="N23" s="11">
        <f>'Assumptions'!N15</f>
        <v/>
      </c>
      <c r="O23" s="11">
        <f>'Assumptions'!O15</f>
        <v/>
      </c>
      <c r="P23" s="11">
        <f>'Assumptions'!P15</f>
        <v/>
      </c>
      <c r="Q23" s="11">
        <f>'Assumptions'!Q15</f>
        <v/>
      </c>
      <c r="R23" s="11">
        <f>'Assumptions'!R15</f>
        <v/>
      </c>
    </row>
    <row r="24">
      <c r="B24" s="10" t="n"/>
      <c r="C24" s="10" t="n"/>
      <c r="D24" s="12" t="inlineStr">
        <is>
          <t>대당 연 서비스매출</t>
        </is>
      </c>
      <c r="E24" s="10" t="n"/>
      <c r="F24" s="10" t="n"/>
      <c r="G24" s="9" t="inlineStr">
        <is>
          <t>service_per_unit</t>
        </is>
      </c>
      <c r="H24" s="13" t="inlineStr">
        <is>
          <t>$/대</t>
        </is>
      </c>
      <c r="I24" s="11">
        <f>'Assumptions'!I16</f>
        <v/>
      </c>
      <c r="J24" s="11">
        <f>'Assumptions'!J16</f>
        <v/>
      </c>
      <c r="K24" s="11">
        <f>'Assumptions'!K16</f>
        <v/>
      </c>
      <c r="L24" s="11">
        <f>'Assumptions'!L16</f>
        <v/>
      </c>
      <c r="M24" s="11">
        <f>'Assumptions'!M16</f>
        <v/>
      </c>
      <c r="N24" s="11">
        <f>'Assumptions'!N16</f>
        <v/>
      </c>
      <c r="O24" s="11">
        <f>'Assumptions'!O16</f>
        <v/>
      </c>
      <c r="P24" s="11">
        <f>'Assumptions'!P16</f>
        <v/>
      </c>
      <c r="Q24" s="11">
        <f>'Assumptions'!Q16</f>
        <v/>
      </c>
      <c r="R24" s="11">
        <f>'Assumptions'!R16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03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14" customWidth="1" min="2" max="2"/>
    <col width="24" customWidth="1" min="3" max="3"/>
    <col width="30" customWidth="1" min="4" max="4"/>
    <col width="10" customWidth="1" min="5" max="5"/>
    <col width="10" customWidth="1" min="6" max="6"/>
    <col width="60" customWidth="1" min="7" max="7"/>
    <col width="16" customWidth="1" min="8" max="8"/>
  </cols>
  <sheetData>
    <row r="1" ht="16.5" customHeight="1">
      <c r="B1" s="1" t="inlineStr">
        <is>
          <t>Formula Audit</t>
        </is>
      </c>
    </row>
    <row r="3">
      <c r="B3" s="28" t="inlineStr">
        <is>
          <t>Sheet</t>
        </is>
      </c>
      <c r="C3" s="28" t="inlineStr">
        <is>
          <t>ID</t>
        </is>
      </c>
      <c r="D3" s="28" t="inlineStr">
        <is>
          <t>Label</t>
        </is>
      </c>
      <c r="E3" s="28" t="inlineStr">
        <is>
          <t>Year</t>
        </is>
      </c>
      <c r="F3" s="28" t="inlineStr">
        <is>
          <t>Cell</t>
        </is>
      </c>
      <c r="G3" s="28" t="inlineStr">
        <is>
          <t>Formula</t>
        </is>
      </c>
      <c r="H3" s="28" t="inlineStr">
        <is>
          <t>Type</t>
        </is>
      </c>
    </row>
    <row r="4">
      <c r="B4" s="4" t="inlineStr">
        <is>
          <t>Model</t>
        </is>
      </c>
      <c r="C4" s="9" t="inlineStr">
        <is>
          <t>root</t>
        </is>
      </c>
      <c r="D4" s="4" t="inlineStr">
        <is>
          <t>테슬라 총매출</t>
        </is>
      </c>
      <c r="E4" s="4" t="inlineStr">
        <is>
          <t>2022</t>
        </is>
      </c>
      <c r="F4" s="9" t="inlineStr">
        <is>
          <t>I5</t>
        </is>
      </c>
      <c r="G4" s="4">
        <f>((I6+I19)+I22)</f>
        <v/>
      </c>
      <c r="H4" s="4" t="inlineStr">
        <is>
          <t>calculation</t>
        </is>
      </c>
    </row>
    <row r="5">
      <c r="B5" s="4" t="inlineStr">
        <is>
          <t>Model</t>
        </is>
      </c>
      <c r="C5" s="9" t="inlineStr">
        <is>
          <t>root</t>
        </is>
      </c>
      <c r="D5" s="4" t="inlineStr">
        <is>
          <t>테슬라 총매출</t>
        </is>
      </c>
      <c r="E5" s="4" t="inlineStr">
        <is>
          <t>2023</t>
        </is>
      </c>
      <c r="F5" s="9" t="inlineStr">
        <is>
          <t>J5</t>
        </is>
      </c>
      <c r="G5" s="4">
        <f>((J6+J19)+J22)</f>
        <v/>
      </c>
      <c r="H5" s="4" t="inlineStr">
        <is>
          <t>calculation</t>
        </is>
      </c>
    </row>
    <row r="6">
      <c r="B6" s="4" t="inlineStr">
        <is>
          <t>Model</t>
        </is>
      </c>
      <c r="C6" s="9" t="inlineStr">
        <is>
          <t>root</t>
        </is>
      </c>
      <c r="D6" s="4" t="inlineStr">
        <is>
          <t>테슬라 총매출</t>
        </is>
      </c>
      <c r="E6" s="4" t="inlineStr">
        <is>
          <t>2024</t>
        </is>
      </c>
      <c r="F6" s="9" t="inlineStr">
        <is>
          <t>K5</t>
        </is>
      </c>
      <c r="G6" s="4">
        <f>((K6+K19)+K22)</f>
        <v/>
      </c>
      <c r="H6" s="4" t="inlineStr">
        <is>
          <t>calculation</t>
        </is>
      </c>
    </row>
    <row r="7">
      <c r="B7" s="4" t="inlineStr">
        <is>
          <t>Model</t>
        </is>
      </c>
      <c r="C7" s="9" t="inlineStr">
        <is>
          <t>root</t>
        </is>
      </c>
      <c r="D7" s="4" t="inlineStr">
        <is>
          <t>테슬라 총매출</t>
        </is>
      </c>
      <c r="E7" s="4" t="inlineStr">
        <is>
          <t>2025</t>
        </is>
      </c>
      <c r="F7" s="9" t="inlineStr">
        <is>
          <t>L5</t>
        </is>
      </c>
      <c r="G7" s="4">
        <f>((L6+L19)+L22)</f>
        <v/>
      </c>
      <c r="H7" s="4" t="inlineStr">
        <is>
          <t>calculation</t>
        </is>
      </c>
    </row>
    <row r="8">
      <c r="B8" s="4" t="inlineStr">
        <is>
          <t>Model</t>
        </is>
      </c>
      <c r="C8" s="9" t="inlineStr">
        <is>
          <t>root</t>
        </is>
      </c>
      <c r="D8" s="4" t="inlineStr">
        <is>
          <t>테슬라 총매출</t>
        </is>
      </c>
      <c r="E8" s="4" t="inlineStr">
        <is>
          <t>2026</t>
        </is>
      </c>
      <c r="F8" s="9" t="inlineStr">
        <is>
          <t>M5</t>
        </is>
      </c>
      <c r="G8" s="4">
        <f>((M6+M19)+M22)</f>
        <v/>
      </c>
      <c r="H8" s="4" t="inlineStr">
        <is>
          <t>calculation</t>
        </is>
      </c>
    </row>
    <row r="9">
      <c r="B9" s="4" t="inlineStr">
        <is>
          <t>Model</t>
        </is>
      </c>
      <c r="C9" s="9" t="inlineStr">
        <is>
          <t>root</t>
        </is>
      </c>
      <c r="D9" s="4" t="inlineStr">
        <is>
          <t>테슬라 총매출</t>
        </is>
      </c>
      <c r="E9" s="4" t="inlineStr">
        <is>
          <t>2027</t>
        </is>
      </c>
      <c r="F9" s="9" t="inlineStr">
        <is>
          <t>N5</t>
        </is>
      </c>
      <c r="G9" s="4">
        <f>((N6+N19)+N22)</f>
        <v/>
      </c>
      <c r="H9" s="4" t="inlineStr">
        <is>
          <t>calculation</t>
        </is>
      </c>
    </row>
    <row r="10">
      <c r="B10" s="4" t="inlineStr">
        <is>
          <t>Model</t>
        </is>
      </c>
      <c r="C10" s="9" t="inlineStr">
        <is>
          <t>root</t>
        </is>
      </c>
      <c r="D10" s="4" t="inlineStr">
        <is>
          <t>테슬라 총매출</t>
        </is>
      </c>
      <c r="E10" s="4" t="inlineStr">
        <is>
          <t>2028</t>
        </is>
      </c>
      <c r="F10" s="9" t="inlineStr">
        <is>
          <t>O5</t>
        </is>
      </c>
      <c r="G10" s="4">
        <f>((O6+O19)+O22)</f>
        <v/>
      </c>
      <c r="H10" s="4" t="inlineStr">
        <is>
          <t>calculation</t>
        </is>
      </c>
    </row>
    <row r="11">
      <c r="B11" s="4" t="inlineStr">
        <is>
          <t>Model</t>
        </is>
      </c>
      <c r="C11" s="9" t="inlineStr">
        <is>
          <t>root</t>
        </is>
      </c>
      <c r="D11" s="4" t="inlineStr">
        <is>
          <t>테슬라 총매출</t>
        </is>
      </c>
      <c r="E11" s="4" t="inlineStr">
        <is>
          <t>2029</t>
        </is>
      </c>
      <c r="F11" s="9" t="inlineStr">
        <is>
          <t>P5</t>
        </is>
      </c>
      <c r="G11" s="4">
        <f>((P6+P19)+P22)</f>
        <v/>
      </c>
      <c r="H11" s="4" t="inlineStr">
        <is>
          <t>calculation</t>
        </is>
      </c>
    </row>
    <row r="12">
      <c r="B12" s="4" t="inlineStr">
        <is>
          <t>Model</t>
        </is>
      </c>
      <c r="C12" s="9" t="inlineStr">
        <is>
          <t>root</t>
        </is>
      </c>
      <c r="D12" s="4" t="inlineStr">
        <is>
          <t>테슬라 총매출</t>
        </is>
      </c>
      <c r="E12" s="4" t="inlineStr">
        <is>
          <t>2030</t>
        </is>
      </c>
      <c r="F12" s="9" t="inlineStr">
        <is>
          <t>Q5</t>
        </is>
      </c>
      <c r="G12" s="4">
        <f>((Q6+Q19)+Q22)</f>
        <v/>
      </c>
      <c r="H12" s="4" t="inlineStr">
        <is>
          <t>calculation</t>
        </is>
      </c>
    </row>
    <row r="13">
      <c r="B13" s="4" t="inlineStr">
        <is>
          <t>Model</t>
        </is>
      </c>
      <c r="C13" s="9" t="inlineStr">
        <is>
          <t>root</t>
        </is>
      </c>
      <c r="D13" s="4" t="inlineStr">
        <is>
          <t>테슬라 총매출</t>
        </is>
      </c>
      <c r="E13" s="4" t="inlineStr">
        <is>
          <t>2031</t>
        </is>
      </c>
      <c r="F13" s="9" t="inlineStr">
        <is>
          <t>R5</t>
        </is>
      </c>
      <c r="G13" s="4">
        <f>((R6+R19)+R22)</f>
        <v/>
      </c>
      <c r="H13" s="4" t="inlineStr">
        <is>
          <t>calculation</t>
        </is>
      </c>
    </row>
    <row r="14">
      <c r="B14" s="4" t="inlineStr">
        <is>
          <t>Model</t>
        </is>
      </c>
      <c r="C14" s="9" t="inlineStr">
        <is>
          <t>auto_total</t>
        </is>
      </c>
      <c r="D14" s="4" t="inlineStr">
        <is>
          <t>① Automotive</t>
        </is>
      </c>
      <c r="E14" s="4" t="inlineStr">
        <is>
          <t>2022</t>
        </is>
      </c>
      <c r="F14" s="9" t="inlineStr">
        <is>
          <t>I6</t>
        </is>
      </c>
      <c r="G14" s="4">
        <f>((I7+I17)+I18)</f>
        <v/>
      </c>
      <c r="H14" s="4" t="inlineStr">
        <is>
          <t>calculation</t>
        </is>
      </c>
    </row>
    <row r="15">
      <c r="B15" s="4" t="inlineStr">
        <is>
          <t>Model</t>
        </is>
      </c>
      <c r="C15" s="9" t="inlineStr">
        <is>
          <t>auto_total</t>
        </is>
      </c>
      <c r="D15" s="4" t="inlineStr">
        <is>
          <t>① Automotive</t>
        </is>
      </c>
      <c r="E15" s="4" t="inlineStr">
        <is>
          <t>2023</t>
        </is>
      </c>
      <c r="F15" s="9" t="inlineStr">
        <is>
          <t>J6</t>
        </is>
      </c>
      <c r="G15" s="4">
        <f>((J7+J17)+J18)</f>
        <v/>
      </c>
      <c r="H15" s="4" t="inlineStr">
        <is>
          <t>calculation</t>
        </is>
      </c>
    </row>
    <row r="16">
      <c r="B16" s="4" t="inlineStr">
        <is>
          <t>Model</t>
        </is>
      </c>
      <c r="C16" s="9" t="inlineStr">
        <is>
          <t>auto_total</t>
        </is>
      </c>
      <c r="D16" s="4" t="inlineStr">
        <is>
          <t>① Automotive</t>
        </is>
      </c>
      <c r="E16" s="4" t="inlineStr">
        <is>
          <t>2024</t>
        </is>
      </c>
      <c r="F16" s="9" t="inlineStr">
        <is>
          <t>K6</t>
        </is>
      </c>
      <c r="G16" s="4">
        <f>((K7+K17)+K18)</f>
        <v/>
      </c>
      <c r="H16" s="4" t="inlineStr">
        <is>
          <t>calculation</t>
        </is>
      </c>
    </row>
    <row r="17">
      <c r="B17" s="4" t="inlineStr">
        <is>
          <t>Model</t>
        </is>
      </c>
      <c r="C17" s="9" t="inlineStr">
        <is>
          <t>auto_total</t>
        </is>
      </c>
      <c r="D17" s="4" t="inlineStr">
        <is>
          <t>① Automotive</t>
        </is>
      </c>
      <c r="E17" s="4" t="inlineStr">
        <is>
          <t>2025</t>
        </is>
      </c>
      <c r="F17" s="9" t="inlineStr">
        <is>
          <t>L6</t>
        </is>
      </c>
      <c r="G17" s="4">
        <f>((L7+L17)+L18)</f>
        <v/>
      </c>
      <c r="H17" s="4" t="inlineStr">
        <is>
          <t>calculation</t>
        </is>
      </c>
    </row>
    <row r="18">
      <c r="B18" s="4" t="inlineStr">
        <is>
          <t>Model</t>
        </is>
      </c>
      <c r="C18" s="9" t="inlineStr">
        <is>
          <t>auto_total</t>
        </is>
      </c>
      <c r="D18" s="4" t="inlineStr">
        <is>
          <t>① Automotive</t>
        </is>
      </c>
      <c r="E18" s="4" t="inlineStr">
        <is>
          <t>2026</t>
        </is>
      </c>
      <c r="F18" s="9" t="inlineStr">
        <is>
          <t>M6</t>
        </is>
      </c>
      <c r="G18" s="4">
        <f>((M7+M17)+M18)</f>
        <v/>
      </c>
      <c r="H18" s="4" t="inlineStr">
        <is>
          <t>calculation</t>
        </is>
      </c>
    </row>
    <row r="19">
      <c r="B19" s="4" t="inlineStr">
        <is>
          <t>Model</t>
        </is>
      </c>
      <c r="C19" s="9" t="inlineStr">
        <is>
          <t>auto_total</t>
        </is>
      </c>
      <c r="D19" s="4" t="inlineStr">
        <is>
          <t>① Automotive</t>
        </is>
      </c>
      <c r="E19" s="4" t="inlineStr">
        <is>
          <t>2027</t>
        </is>
      </c>
      <c r="F19" s="9" t="inlineStr">
        <is>
          <t>N6</t>
        </is>
      </c>
      <c r="G19" s="4">
        <f>((N7+N17)+N18)</f>
        <v/>
      </c>
      <c r="H19" s="4" t="inlineStr">
        <is>
          <t>calculation</t>
        </is>
      </c>
    </row>
    <row r="20">
      <c r="B20" s="4" t="inlineStr">
        <is>
          <t>Model</t>
        </is>
      </c>
      <c r="C20" s="9" t="inlineStr">
        <is>
          <t>auto_total</t>
        </is>
      </c>
      <c r="D20" s="4" t="inlineStr">
        <is>
          <t>① Automotive</t>
        </is>
      </c>
      <c r="E20" s="4" t="inlineStr">
        <is>
          <t>2028</t>
        </is>
      </c>
      <c r="F20" s="9" t="inlineStr">
        <is>
          <t>O6</t>
        </is>
      </c>
      <c r="G20" s="4">
        <f>((O7+O17)+O18)</f>
        <v/>
      </c>
      <c r="H20" s="4" t="inlineStr">
        <is>
          <t>calculation</t>
        </is>
      </c>
    </row>
    <row r="21">
      <c r="B21" s="4" t="inlineStr">
        <is>
          <t>Model</t>
        </is>
      </c>
      <c r="C21" s="9" t="inlineStr">
        <is>
          <t>auto_total</t>
        </is>
      </c>
      <c r="D21" s="4" t="inlineStr">
        <is>
          <t>① Automotive</t>
        </is>
      </c>
      <c r="E21" s="4" t="inlineStr">
        <is>
          <t>2029</t>
        </is>
      </c>
      <c r="F21" s="9" t="inlineStr">
        <is>
          <t>P6</t>
        </is>
      </c>
      <c r="G21" s="4">
        <f>((P7+P17)+P18)</f>
        <v/>
      </c>
      <c r="H21" s="4" t="inlineStr">
        <is>
          <t>calculation</t>
        </is>
      </c>
    </row>
    <row r="22">
      <c r="B22" s="4" t="inlineStr">
        <is>
          <t>Model</t>
        </is>
      </c>
      <c r="C22" s="9" t="inlineStr">
        <is>
          <t>auto_total</t>
        </is>
      </c>
      <c r="D22" s="4" t="inlineStr">
        <is>
          <t>① Automotive</t>
        </is>
      </c>
      <c r="E22" s="4" t="inlineStr">
        <is>
          <t>2030</t>
        </is>
      </c>
      <c r="F22" s="9" t="inlineStr">
        <is>
          <t>Q6</t>
        </is>
      </c>
      <c r="G22" s="4">
        <f>((Q7+Q17)+Q18)</f>
        <v/>
      </c>
      <c r="H22" s="4" t="inlineStr">
        <is>
          <t>calculation</t>
        </is>
      </c>
    </row>
    <row r="23">
      <c r="B23" s="4" t="inlineStr">
        <is>
          <t>Model</t>
        </is>
      </c>
      <c r="C23" s="9" t="inlineStr">
        <is>
          <t>auto_total</t>
        </is>
      </c>
      <c r="D23" s="4" t="inlineStr">
        <is>
          <t>① Automotive</t>
        </is>
      </c>
      <c r="E23" s="4" t="inlineStr">
        <is>
          <t>2031</t>
        </is>
      </c>
      <c r="F23" s="9" t="inlineStr">
        <is>
          <t>R6</t>
        </is>
      </c>
      <c r="G23" s="4">
        <f>((R7+R17)+R18)</f>
        <v/>
      </c>
      <c r="H23" s="4" t="inlineStr">
        <is>
          <t>calculation</t>
        </is>
      </c>
    </row>
    <row r="24">
      <c r="B24" s="4" t="inlineStr">
        <is>
          <t>Model</t>
        </is>
      </c>
      <c r="C24" s="9" t="inlineStr">
        <is>
          <t>auto_sales</t>
        </is>
      </c>
      <c r="D24" s="4" t="inlineStr">
        <is>
          <t>차량판매</t>
        </is>
      </c>
      <c r="E24" s="4" t="inlineStr">
        <is>
          <t>2022</t>
        </is>
      </c>
      <c r="F24" s="9" t="inlineStr">
        <is>
          <t>I7</t>
        </is>
      </c>
      <c r="G24" s="4">
        <f>((I8+I11)+I14)</f>
        <v/>
      </c>
      <c r="H24" s="4" t="inlineStr">
        <is>
          <t>calculation</t>
        </is>
      </c>
    </row>
    <row r="25">
      <c r="B25" s="4" t="inlineStr">
        <is>
          <t>Model</t>
        </is>
      </c>
      <c r="C25" s="9" t="inlineStr">
        <is>
          <t>auto_sales</t>
        </is>
      </c>
      <c r="D25" s="4" t="inlineStr">
        <is>
          <t>차량판매</t>
        </is>
      </c>
      <c r="E25" s="4" t="inlineStr">
        <is>
          <t>2023</t>
        </is>
      </c>
      <c r="F25" s="9" t="inlineStr">
        <is>
          <t>J7</t>
        </is>
      </c>
      <c r="G25" s="4">
        <f>((J8+J11)+J14)</f>
        <v/>
      </c>
      <c r="H25" s="4" t="inlineStr">
        <is>
          <t>calculation</t>
        </is>
      </c>
    </row>
    <row r="26">
      <c r="B26" s="4" t="inlineStr">
        <is>
          <t>Model</t>
        </is>
      </c>
      <c r="C26" s="9" t="inlineStr">
        <is>
          <t>auto_sales</t>
        </is>
      </c>
      <c r="D26" s="4" t="inlineStr">
        <is>
          <t>차량판매</t>
        </is>
      </c>
      <c r="E26" s="4" t="inlineStr">
        <is>
          <t>2024</t>
        </is>
      </c>
      <c r="F26" s="9" t="inlineStr">
        <is>
          <t>K7</t>
        </is>
      </c>
      <c r="G26" s="4">
        <f>((K8+K11)+K14)</f>
        <v/>
      </c>
      <c r="H26" s="4" t="inlineStr">
        <is>
          <t>calculation</t>
        </is>
      </c>
    </row>
    <row r="27">
      <c r="B27" s="4" t="inlineStr">
        <is>
          <t>Model</t>
        </is>
      </c>
      <c r="C27" s="9" t="inlineStr">
        <is>
          <t>auto_sales</t>
        </is>
      </c>
      <c r="D27" s="4" t="inlineStr">
        <is>
          <t>차량판매</t>
        </is>
      </c>
      <c r="E27" s="4" t="inlineStr">
        <is>
          <t>2025</t>
        </is>
      </c>
      <c r="F27" s="9" t="inlineStr">
        <is>
          <t>L7</t>
        </is>
      </c>
      <c r="G27" s="4">
        <f>((L8+L11)+L14)</f>
        <v/>
      </c>
      <c r="H27" s="4" t="inlineStr">
        <is>
          <t>calculation</t>
        </is>
      </c>
    </row>
    <row r="28">
      <c r="B28" s="4" t="inlineStr">
        <is>
          <t>Model</t>
        </is>
      </c>
      <c r="C28" s="9" t="inlineStr">
        <is>
          <t>auto_sales</t>
        </is>
      </c>
      <c r="D28" s="4" t="inlineStr">
        <is>
          <t>차량판매</t>
        </is>
      </c>
      <c r="E28" s="4" t="inlineStr">
        <is>
          <t>2026</t>
        </is>
      </c>
      <c r="F28" s="9" t="inlineStr">
        <is>
          <t>M7</t>
        </is>
      </c>
      <c r="G28" s="4">
        <f>((M8+M11)+M14)</f>
        <v/>
      </c>
      <c r="H28" s="4" t="inlineStr">
        <is>
          <t>calculation</t>
        </is>
      </c>
    </row>
    <row r="29">
      <c r="B29" s="4" t="inlineStr">
        <is>
          <t>Model</t>
        </is>
      </c>
      <c r="C29" s="9" t="inlineStr">
        <is>
          <t>auto_sales</t>
        </is>
      </c>
      <c r="D29" s="4" t="inlineStr">
        <is>
          <t>차량판매</t>
        </is>
      </c>
      <c r="E29" s="4" t="inlineStr">
        <is>
          <t>2027</t>
        </is>
      </c>
      <c r="F29" s="9" t="inlineStr">
        <is>
          <t>N7</t>
        </is>
      </c>
      <c r="G29" s="4">
        <f>((N8+N11)+N14)</f>
        <v/>
      </c>
      <c r="H29" s="4" t="inlineStr">
        <is>
          <t>calculation</t>
        </is>
      </c>
    </row>
    <row r="30">
      <c r="B30" s="4" t="inlineStr">
        <is>
          <t>Model</t>
        </is>
      </c>
      <c r="C30" s="9" t="inlineStr">
        <is>
          <t>auto_sales</t>
        </is>
      </c>
      <c r="D30" s="4" t="inlineStr">
        <is>
          <t>차량판매</t>
        </is>
      </c>
      <c r="E30" s="4" t="inlineStr">
        <is>
          <t>2028</t>
        </is>
      </c>
      <c r="F30" s="9" t="inlineStr">
        <is>
          <t>O7</t>
        </is>
      </c>
      <c r="G30" s="4">
        <f>((O8+O11)+O14)</f>
        <v/>
      </c>
      <c r="H30" s="4" t="inlineStr">
        <is>
          <t>calculation</t>
        </is>
      </c>
    </row>
    <row r="31">
      <c r="B31" s="4" t="inlineStr">
        <is>
          <t>Model</t>
        </is>
      </c>
      <c r="C31" s="9" t="inlineStr">
        <is>
          <t>auto_sales</t>
        </is>
      </c>
      <c r="D31" s="4" t="inlineStr">
        <is>
          <t>차량판매</t>
        </is>
      </c>
      <c r="E31" s="4" t="inlineStr">
        <is>
          <t>2029</t>
        </is>
      </c>
      <c r="F31" s="9" t="inlineStr">
        <is>
          <t>P7</t>
        </is>
      </c>
      <c r="G31" s="4">
        <f>((P8+P11)+P14)</f>
        <v/>
      </c>
      <c r="H31" s="4" t="inlineStr">
        <is>
          <t>calculation</t>
        </is>
      </c>
    </row>
    <row r="32">
      <c r="B32" s="4" t="inlineStr">
        <is>
          <t>Model</t>
        </is>
      </c>
      <c r="C32" s="9" t="inlineStr">
        <is>
          <t>auto_sales</t>
        </is>
      </c>
      <c r="D32" s="4" t="inlineStr">
        <is>
          <t>차량판매</t>
        </is>
      </c>
      <c r="E32" s="4" t="inlineStr">
        <is>
          <t>2030</t>
        </is>
      </c>
      <c r="F32" s="9" t="inlineStr">
        <is>
          <t>Q7</t>
        </is>
      </c>
      <c r="G32" s="4">
        <f>((Q8+Q11)+Q14)</f>
        <v/>
      </c>
      <c r="H32" s="4" t="inlineStr">
        <is>
          <t>calculation</t>
        </is>
      </c>
    </row>
    <row r="33">
      <c r="B33" s="4" t="inlineStr">
        <is>
          <t>Model</t>
        </is>
      </c>
      <c r="C33" s="9" t="inlineStr">
        <is>
          <t>auto_sales</t>
        </is>
      </c>
      <c r="D33" s="4" t="inlineStr">
        <is>
          <t>차량판매</t>
        </is>
      </c>
      <c r="E33" s="4" t="inlineStr">
        <is>
          <t>2031</t>
        </is>
      </c>
      <c r="F33" s="9" t="inlineStr">
        <is>
          <t>R7</t>
        </is>
      </c>
      <c r="G33" s="4">
        <f>((R8+R11)+R14)</f>
        <v/>
      </c>
      <c r="H33" s="4" t="inlineStr">
        <is>
          <t>calculation</t>
        </is>
      </c>
    </row>
    <row r="34">
      <c r="B34" s="4" t="inlineStr">
        <is>
          <t>Model</t>
        </is>
      </c>
      <c r="C34" s="9" t="inlineStr">
        <is>
          <t>sales_3y</t>
        </is>
      </c>
      <c r="D34" s="4" t="inlineStr">
        <is>
          <t>Model 3/Y 매출</t>
        </is>
      </c>
      <c r="E34" s="4" t="inlineStr">
        <is>
          <t>2022</t>
        </is>
      </c>
      <c r="F34" s="9" t="inlineStr">
        <is>
          <t>I8</t>
        </is>
      </c>
      <c r="G34" s="4">
        <f>(I9*I10)</f>
        <v/>
      </c>
      <c r="H34" s="4" t="inlineStr">
        <is>
          <t>calculation</t>
        </is>
      </c>
    </row>
    <row r="35">
      <c r="B35" s="4" t="inlineStr">
        <is>
          <t>Model</t>
        </is>
      </c>
      <c r="C35" s="9" t="inlineStr">
        <is>
          <t>sales_3y</t>
        </is>
      </c>
      <c r="D35" s="4" t="inlineStr">
        <is>
          <t>Model 3/Y 매출</t>
        </is>
      </c>
      <c r="E35" s="4" t="inlineStr">
        <is>
          <t>2023</t>
        </is>
      </c>
      <c r="F35" s="9" t="inlineStr">
        <is>
          <t>J8</t>
        </is>
      </c>
      <c r="G35" s="4">
        <f>(J9*J10)</f>
        <v/>
      </c>
      <c r="H35" s="4" t="inlineStr">
        <is>
          <t>calculation</t>
        </is>
      </c>
    </row>
    <row r="36">
      <c r="B36" s="4" t="inlineStr">
        <is>
          <t>Model</t>
        </is>
      </c>
      <c r="C36" s="9" t="inlineStr">
        <is>
          <t>sales_3y</t>
        </is>
      </c>
      <c r="D36" s="4" t="inlineStr">
        <is>
          <t>Model 3/Y 매출</t>
        </is>
      </c>
      <c r="E36" s="4" t="inlineStr">
        <is>
          <t>2024</t>
        </is>
      </c>
      <c r="F36" s="9" t="inlineStr">
        <is>
          <t>K8</t>
        </is>
      </c>
      <c r="G36" s="4">
        <f>(K9*K10)</f>
        <v/>
      </c>
      <c r="H36" s="4" t="inlineStr">
        <is>
          <t>calculation</t>
        </is>
      </c>
    </row>
    <row r="37">
      <c r="B37" s="4" t="inlineStr">
        <is>
          <t>Model</t>
        </is>
      </c>
      <c r="C37" s="9" t="inlineStr">
        <is>
          <t>sales_3y</t>
        </is>
      </c>
      <c r="D37" s="4" t="inlineStr">
        <is>
          <t>Model 3/Y 매출</t>
        </is>
      </c>
      <c r="E37" s="4" t="inlineStr">
        <is>
          <t>2025</t>
        </is>
      </c>
      <c r="F37" s="9" t="inlineStr">
        <is>
          <t>L8</t>
        </is>
      </c>
      <c r="G37" s="4">
        <f>(L9*L10)</f>
        <v/>
      </c>
      <c r="H37" s="4" t="inlineStr">
        <is>
          <t>calculation</t>
        </is>
      </c>
    </row>
    <row r="38">
      <c r="B38" s="4" t="inlineStr">
        <is>
          <t>Model</t>
        </is>
      </c>
      <c r="C38" s="9" t="inlineStr">
        <is>
          <t>sales_3y</t>
        </is>
      </c>
      <c r="D38" s="4" t="inlineStr">
        <is>
          <t>Model 3/Y 매출</t>
        </is>
      </c>
      <c r="E38" s="4" t="inlineStr">
        <is>
          <t>2026</t>
        </is>
      </c>
      <c r="F38" s="9" t="inlineStr">
        <is>
          <t>M8</t>
        </is>
      </c>
      <c r="G38" s="4">
        <f>(M9*M10)</f>
        <v/>
      </c>
      <c r="H38" s="4" t="inlineStr">
        <is>
          <t>calculation</t>
        </is>
      </c>
    </row>
    <row r="39">
      <c r="B39" s="4" t="inlineStr">
        <is>
          <t>Model</t>
        </is>
      </c>
      <c r="C39" s="9" t="inlineStr">
        <is>
          <t>sales_3y</t>
        </is>
      </c>
      <c r="D39" s="4" t="inlineStr">
        <is>
          <t>Model 3/Y 매출</t>
        </is>
      </c>
      <c r="E39" s="4" t="inlineStr">
        <is>
          <t>2027</t>
        </is>
      </c>
      <c r="F39" s="9" t="inlineStr">
        <is>
          <t>N8</t>
        </is>
      </c>
      <c r="G39" s="4">
        <f>(N9*N10)</f>
        <v/>
      </c>
      <c r="H39" s="4" t="inlineStr">
        <is>
          <t>calculation</t>
        </is>
      </c>
    </row>
    <row r="40">
      <c r="B40" s="4" t="inlineStr">
        <is>
          <t>Model</t>
        </is>
      </c>
      <c r="C40" s="9" t="inlineStr">
        <is>
          <t>sales_3y</t>
        </is>
      </c>
      <c r="D40" s="4" t="inlineStr">
        <is>
          <t>Model 3/Y 매출</t>
        </is>
      </c>
      <c r="E40" s="4" t="inlineStr">
        <is>
          <t>2028</t>
        </is>
      </c>
      <c r="F40" s="9" t="inlineStr">
        <is>
          <t>O8</t>
        </is>
      </c>
      <c r="G40" s="4">
        <f>(O9*O10)</f>
        <v/>
      </c>
      <c r="H40" s="4" t="inlineStr">
        <is>
          <t>calculation</t>
        </is>
      </c>
    </row>
    <row r="41">
      <c r="B41" s="4" t="inlineStr">
        <is>
          <t>Model</t>
        </is>
      </c>
      <c r="C41" s="9" t="inlineStr">
        <is>
          <t>sales_3y</t>
        </is>
      </c>
      <c r="D41" s="4" t="inlineStr">
        <is>
          <t>Model 3/Y 매출</t>
        </is>
      </c>
      <c r="E41" s="4" t="inlineStr">
        <is>
          <t>2029</t>
        </is>
      </c>
      <c r="F41" s="9" t="inlineStr">
        <is>
          <t>P8</t>
        </is>
      </c>
      <c r="G41" s="4">
        <f>(P9*P10)</f>
        <v/>
      </c>
      <c r="H41" s="4" t="inlineStr">
        <is>
          <t>calculation</t>
        </is>
      </c>
    </row>
    <row r="42">
      <c r="B42" s="4" t="inlineStr">
        <is>
          <t>Model</t>
        </is>
      </c>
      <c r="C42" s="9" t="inlineStr">
        <is>
          <t>sales_3y</t>
        </is>
      </c>
      <c r="D42" s="4" t="inlineStr">
        <is>
          <t>Model 3/Y 매출</t>
        </is>
      </c>
      <c r="E42" s="4" t="inlineStr">
        <is>
          <t>2030</t>
        </is>
      </c>
      <c r="F42" s="9" t="inlineStr">
        <is>
          <t>Q8</t>
        </is>
      </c>
      <c r="G42" s="4">
        <f>(Q9*Q10)</f>
        <v/>
      </c>
      <c r="H42" s="4" t="inlineStr">
        <is>
          <t>calculation</t>
        </is>
      </c>
    </row>
    <row r="43">
      <c r="B43" s="4" t="inlineStr">
        <is>
          <t>Model</t>
        </is>
      </c>
      <c r="C43" s="9" t="inlineStr">
        <is>
          <t>sales_3y</t>
        </is>
      </c>
      <c r="D43" s="4" t="inlineStr">
        <is>
          <t>Model 3/Y 매출</t>
        </is>
      </c>
      <c r="E43" s="4" t="inlineStr">
        <is>
          <t>2031</t>
        </is>
      </c>
      <c r="F43" s="9" t="inlineStr">
        <is>
          <t>R8</t>
        </is>
      </c>
      <c r="G43" s="4">
        <f>(R9*R10)</f>
        <v/>
      </c>
      <c r="H43" s="4" t="inlineStr">
        <is>
          <t>calculation</t>
        </is>
      </c>
    </row>
    <row r="44">
      <c r="B44" s="4" t="inlineStr">
        <is>
          <t>Model</t>
        </is>
      </c>
      <c r="C44" s="9" t="inlineStr">
        <is>
          <t>del_3y</t>
        </is>
      </c>
      <c r="D44" s="4" t="inlineStr">
        <is>
          <t>Model 3/Y 인도량</t>
        </is>
      </c>
      <c r="E44" s="4" t="inlineStr">
        <is>
          <t>2022</t>
        </is>
      </c>
      <c r="F44" s="9" t="inlineStr">
        <is>
          <t>I9</t>
        </is>
      </c>
      <c r="G44" s="4">
        <f>'Assumptions'!I5</f>
        <v/>
      </c>
      <c r="H44" s="4" t="inlineStr">
        <is>
          <t>input link</t>
        </is>
      </c>
    </row>
    <row r="45">
      <c r="B45" s="4" t="inlineStr">
        <is>
          <t>Model</t>
        </is>
      </c>
      <c r="C45" s="9" t="inlineStr">
        <is>
          <t>del_3y</t>
        </is>
      </c>
      <c r="D45" s="4" t="inlineStr">
        <is>
          <t>Model 3/Y 인도량</t>
        </is>
      </c>
      <c r="E45" s="4" t="inlineStr">
        <is>
          <t>2023</t>
        </is>
      </c>
      <c r="F45" s="9" t="inlineStr">
        <is>
          <t>J9</t>
        </is>
      </c>
      <c r="G45" s="4">
        <f>'Assumptions'!J5</f>
        <v/>
      </c>
      <c r="H45" s="4" t="inlineStr">
        <is>
          <t>input link</t>
        </is>
      </c>
    </row>
    <row r="46">
      <c r="B46" s="4" t="inlineStr">
        <is>
          <t>Model</t>
        </is>
      </c>
      <c r="C46" s="9" t="inlineStr">
        <is>
          <t>del_3y</t>
        </is>
      </c>
      <c r="D46" s="4" t="inlineStr">
        <is>
          <t>Model 3/Y 인도량</t>
        </is>
      </c>
      <c r="E46" s="4" t="inlineStr">
        <is>
          <t>2024</t>
        </is>
      </c>
      <c r="F46" s="9" t="inlineStr">
        <is>
          <t>K9</t>
        </is>
      </c>
      <c r="G46" s="4">
        <f>'Assumptions'!K5</f>
        <v/>
      </c>
      <c r="H46" s="4" t="inlineStr">
        <is>
          <t>input link</t>
        </is>
      </c>
    </row>
    <row r="47">
      <c r="B47" s="4" t="inlineStr">
        <is>
          <t>Model</t>
        </is>
      </c>
      <c r="C47" s="9" t="inlineStr">
        <is>
          <t>del_3y</t>
        </is>
      </c>
      <c r="D47" s="4" t="inlineStr">
        <is>
          <t>Model 3/Y 인도량</t>
        </is>
      </c>
      <c r="E47" s="4" t="inlineStr">
        <is>
          <t>2025</t>
        </is>
      </c>
      <c r="F47" s="9" t="inlineStr">
        <is>
          <t>L9</t>
        </is>
      </c>
      <c r="G47" s="4">
        <f>'Assumptions'!L5</f>
        <v/>
      </c>
      <c r="H47" s="4" t="inlineStr">
        <is>
          <t>input link</t>
        </is>
      </c>
    </row>
    <row r="48">
      <c r="B48" s="4" t="inlineStr">
        <is>
          <t>Model</t>
        </is>
      </c>
      <c r="C48" s="9" t="inlineStr">
        <is>
          <t>del_3y</t>
        </is>
      </c>
      <c r="D48" s="4" t="inlineStr">
        <is>
          <t>Model 3/Y 인도량</t>
        </is>
      </c>
      <c r="E48" s="4" t="inlineStr">
        <is>
          <t>2026</t>
        </is>
      </c>
      <c r="F48" s="9" t="inlineStr">
        <is>
          <t>M9</t>
        </is>
      </c>
      <c r="G48" s="4">
        <f>'Assumptions'!M5</f>
        <v/>
      </c>
      <c r="H48" s="4" t="inlineStr">
        <is>
          <t>input link</t>
        </is>
      </c>
    </row>
    <row r="49">
      <c r="B49" s="4" t="inlineStr">
        <is>
          <t>Model</t>
        </is>
      </c>
      <c r="C49" s="9" t="inlineStr">
        <is>
          <t>del_3y</t>
        </is>
      </c>
      <c r="D49" s="4" t="inlineStr">
        <is>
          <t>Model 3/Y 인도량</t>
        </is>
      </c>
      <c r="E49" s="4" t="inlineStr">
        <is>
          <t>2027</t>
        </is>
      </c>
      <c r="F49" s="9" t="inlineStr">
        <is>
          <t>N9</t>
        </is>
      </c>
      <c r="G49" s="4">
        <f>'Assumptions'!N5</f>
        <v/>
      </c>
      <c r="H49" s="4" t="inlineStr">
        <is>
          <t>input link</t>
        </is>
      </c>
    </row>
    <row r="50">
      <c r="B50" s="4" t="inlineStr">
        <is>
          <t>Model</t>
        </is>
      </c>
      <c r="C50" s="9" t="inlineStr">
        <is>
          <t>del_3y</t>
        </is>
      </c>
      <c r="D50" s="4" t="inlineStr">
        <is>
          <t>Model 3/Y 인도량</t>
        </is>
      </c>
      <c r="E50" s="4" t="inlineStr">
        <is>
          <t>2028</t>
        </is>
      </c>
      <c r="F50" s="9" t="inlineStr">
        <is>
          <t>O9</t>
        </is>
      </c>
      <c r="G50" s="4">
        <f>'Assumptions'!O5</f>
        <v/>
      </c>
      <c r="H50" s="4" t="inlineStr">
        <is>
          <t>input link</t>
        </is>
      </c>
    </row>
    <row r="51">
      <c r="B51" s="4" t="inlineStr">
        <is>
          <t>Model</t>
        </is>
      </c>
      <c r="C51" s="9" t="inlineStr">
        <is>
          <t>del_3y</t>
        </is>
      </c>
      <c r="D51" s="4" t="inlineStr">
        <is>
          <t>Model 3/Y 인도량</t>
        </is>
      </c>
      <c r="E51" s="4" t="inlineStr">
        <is>
          <t>2029</t>
        </is>
      </c>
      <c r="F51" s="9" t="inlineStr">
        <is>
          <t>P9</t>
        </is>
      </c>
      <c r="G51" s="4">
        <f>'Assumptions'!P5</f>
        <v/>
      </c>
      <c r="H51" s="4" t="inlineStr">
        <is>
          <t>input link</t>
        </is>
      </c>
    </row>
    <row r="52">
      <c r="B52" s="4" t="inlineStr">
        <is>
          <t>Model</t>
        </is>
      </c>
      <c r="C52" s="9" t="inlineStr">
        <is>
          <t>del_3y</t>
        </is>
      </c>
      <c r="D52" s="4" t="inlineStr">
        <is>
          <t>Model 3/Y 인도량</t>
        </is>
      </c>
      <c r="E52" s="4" t="inlineStr">
        <is>
          <t>2030</t>
        </is>
      </c>
      <c r="F52" s="9" t="inlineStr">
        <is>
          <t>Q9</t>
        </is>
      </c>
      <c r="G52" s="4">
        <f>'Assumptions'!Q5</f>
        <v/>
      </c>
      <c r="H52" s="4" t="inlineStr">
        <is>
          <t>input link</t>
        </is>
      </c>
    </row>
    <row r="53">
      <c r="B53" s="4" t="inlineStr">
        <is>
          <t>Model</t>
        </is>
      </c>
      <c r="C53" s="9" t="inlineStr">
        <is>
          <t>del_3y</t>
        </is>
      </c>
      <c r="D53" s="4" t="inlineStr">
        <is>
          <t>Model 3/Y 인도량</t>
        </is>
      </c>
      <c r="E53" s="4" t="inlineStr">
        <is>
          <t>2031</t>
        </is>
      </c>
      <c r="F53" s="9" t="inlineStr">
        <is>
          <t>R9</t>
        </is>
      </c>
      <c r="G53" s="4">
        <f>'Assumptions'!R5</f>
        <v/>
      </c>
      <c r="H53" s="4" t="inlineStr">
        <is>
          <t>input link</t>
        </is>
      </c>
    </row>
    <row r="54">
      <c r="B54" s="4" t="inlineStr">
        <is>
          <t>Model</t>
        </is>
      </c>
      <c r="C54" s="9" t="inlineStr">
        <is>
          <t>asp_3y</t>
        </is>
      </c>
      <c r="D54" s="4" t="inlineStr">
        <is>
          <t>Model 3/Y ASP</t>
        </is>
      </c>
      <c r="E54" s="4" t="inlineStr">
        <is>
          <t>2022</t>
        </is>
      </c>
      <c r="F54" s="9" t="inlineStr">
        <is>
          <t>I10</t>
        </is>
      </c>
      <c r="G54" s="4">
        <f>'Assumptions'!I6</f>
        <v/>
      </c>
      <c r="H54" s="4" t="inlineStr">
        <is>
          <t>input link</t>
        </is>
      </c>
    </row>
    <row r="55">
      <c r="B55" s="4" t="inlineStr">
        <is>
          <t>Model</t>
        </is>
      </c>
      <c r="C55" s="9" t="inlineStr">
        <is>
          <t>asp_3y</t>
        </is>
      </c>
      <c r="D55" s="4" t="inlineStr">
        <is>
          <t>Model 3/Y ASP</t>
        </is>
      </c>
      <c r="E55" s="4" t="inlineStr">
        <is>
          <t>2023</t>
        </is>
      </c>
      <c r="F55" s="9" t="inlineStr">
        <is>
          <t>J10</t>
        </is>
      </c>
      <c r="G55" s="4">
        <f>'Assumptions'!J6</f>
        <v/>
      </c>
      <c r="H55" s="4" t="inlineStr">
        <is>
          <t>input link</t>
        </is>
      </c>
    </row>
    <row r="56">
      <c r="B56" s="4" t="inlineStr">
        <is>
          <t>Model</t>
        </is>
      </c>
      <c r="C56" s="9" t="inlineStr">
        <is>
          <t>asp_3y</t>
        </is>
      </c>
      <c r="D56" s="4" t="inlineStr">
        <is>
          <t>Model 3/Y ASP</t>
        </is>
      </c>
      <c r="E56" s="4" t="inlineStr">
        <is>
          <t>2024</t>
        </is>
      </c>
      <c r="F56" s="9" t="inlineStr">
        <is>
          <t>K10</t>
        </is>
      </c>
      <c r="G56" s="4">
        <f>'Assumptions'!K6</f>
        <v/>
      </c>
      <c r="H56" s="4" t="inlineStr">
        <is>
          <t>input link</t>
        </is>
      </c>
    </row>
    <row r="57">
      <c r="B57" s="4" t="inlineStr">
        <is>
          <t>Model</t>
        </is>
      </c>
      <c r="C57" s="9" t="inlineStr">
        <is>
          <t>asp_3y</t>
        </is>
      </c>
      <c r="D57" s="4" t="inlineStr">
        <is>
          <t>Model 3/Y ASP</t>
        </is>
      </c>
      <c r="E57" s="4" t="inlineStr">
        <is>
          <t>2025</t>
        </is>
      </c>
      <c r="F57" s="9" t="inlineStr">
        <is>
          <t>L10</t>
        </is>
      </c>
      <c r="G57" s="4">
        <f>'Assumptions'!L6</f>
        <v/>
      </c>
      <c r="H57" s="4" t="inlineStr">
        <is>
          <t>input link</t>
        </is>
      </c>
    </row>
    <row r="58">
      <c r="B58" s="4" t="inlineStr">
        <is>
          <t>Model</t>
        </is>
      </c>
      <c r="C58" s="9" t="inlineStr">
        <is>
          <t>asp_3y</t>
        </is>
      </c>
      <c r="D58" s="4" t="inlineStr">
        <is>
          <t>Model 3/Y ASP</t>
        </is>
      </c>
      <c r="E58" s="4" t="inlineStr">
        <is>
          <t>2026</t>
        </is>
      </c>
      <c r="F58" s="9" t="inlineStr">
        <is>
          <t>M10</t>
        </is>
      </c>
      <c r="G58" s="4">
        <f>'Assumptions'!M6</f>
        <v/>
      </c>
      <c r="H58" s="4" t="inlineStr">
        <is>
          <t>input link</t>
        </is>
      </c>
    </row>
    <row r="59">
      <c r="B59" s="4" t="inlineStr">
        <is>
          <t>Model</t>
        </is>
      </c>
      <c r="C59" s="9" t="inlineStr">
        <is>
          <t>asp_3y</t>
        </is>
      </c>
      <c r="D59" s="4" t="inlineStr">
        <is>
          <t>Model 3/Y ASP</t>
        </is>
      </c>
      <c r="E59" s="4" t="inlineStr">
        <is>
          <t>2027</t>
        </is>
      </c>
      <c r="F59" s="9" t="inlineStr">
        <is>
          <t>N10</t>
        </is>
      </c>
      <c r="G59" s="4">
        <f>'Assumptions'!N6</f>
        <v/>
      </c>
      <c r="H59" s="4" t="inlineStr">
        <is>
          <t>input link</t>
        </is>
      </c>
    </row>
    <row r="60">
      <c r="B60" s="4" t="inlineStr">
        <is>
          <t>Model</t>
        </is>
      </c>
      <c r="C60" s="9" t="inlineStr">
        <is>
          <t>asp_3y</t>
        </is>
      </c>
      <c r="D60" s="4" t="inlineStr">
        <is>
          <t>Model 3/Y ASP</t>
        </is>
      </c>
      <c r="E60" s="4" t="inlineStr">
        <is>
          <t>2028</t>
        </is>
      </c>
      <c r="F60" s="9" t="inlineStr">
        <is>
          <t>O10</t>
        </is>
      </c>
      <c r="G60" s="4">
        <f>'Assumptions'!O6</f>
        <v/>
      </c>
      <c r="H60" s="4" t="inlineStr">
        <is>
          <t>input link</t>
        </is>
      </c>
    </row>
    <row r="61">
      <c r="B61" s="4" t="inlineStr">
        <is>
          <t>Model</t>
        </is>
      </c>
      <c r="C61" s="9" t="inlineStr">
        <is>
          <t>asp_3y</t>
        </is>
      </c>
      <c r="D61" s="4" t="inlineStr">
        <is>
          <t>Model 3/Y ASP</t>
        </is>
      </c>
      <c r="E61" s="4" t="inlineStr">
        <is>
          <t>2029</t>
        </is>
      </c>
      <c r="F61" s="9" t="inlineStr">
        <is>
          <t>P10</t>
        </is>
      </c>
      <c r="G61" s="4">
        <f>'Assumptions'!P6</f>
        <v/>
      </c>
      <c r="H61" s="4" t="inlineStr">
        <is>
          <t>input link</t>
        </is>
      </c>
    </row>
    <row r="62">
      <c r="B62" s="4" t="inlineStr">
        <is>
          <t>Model</t>
        </is>
      </c>
      <c r="C62" s="9" t="inlineStr">
        <is>
          <t>asp_3y</t>
        </is>
      </c>
      <c r="D62" s="4" t="inlineStr">
        <is>
          <t>Model 3/Y ASP</t>
        </is>
      </c>
      <c r="E62" s="4" t="inlineStr">
        <is>
          <t>2030</t>
        </is>
      </c>
      <c r="F62" s="9" t="inlineStr">
        <is>
          <t>Q10</t>
        </is>
      </c>
      <c r="G62" s="4">
        <f>'Assumptions'!Q6</f>
        <v/>
      </c>
      <c r="H62" s="4" t="inlineStr">
        <is>
          <t>input link</t>
        </is>
      </c>
    </row>
    <row r="63">
      <c r="B63" s="4" t="inlineStr">
        <is>
          <t>Model</t>
        </is>
      </c>
      <c r="C63" s="9" t="inlineStr">
        <is>
          <t>asp_3y</t>
        </is>
      </c>
      <c r="D63" s="4" t="inlineStr">
        <is>
          <t>Model 3/Y ASP</t>
        </is>
      </c>
      <c r="E63" s="4" t="inlineStr">
        <is>
          <t>2031</t>
        </is>
      </c>
      <c r="F63" s="9" t="inlineStr">
        <is>
          <t>R10</t>
        </is>
      </c>
      <c r="G63" s="4">
        <f>'Assumptions'!R6</f>
        <v/>
      </c>
      <c r="H63" s="4" t="inlineStr">
        <is>
          <t>input link</t>
        </is>
      </c>
    </row>
    <row r="64">
      <c r="B64" s="4" t="inlineStr">
        <is>
          <t>Model</t>
        </is>
      </c>
      <c r="C64" s="9" t="inlineStr">
        <is>
          <t>sales_sxc</t>
        </is>
      </c>
      <c r="D64" s="4" t="inlineStr">
        <is>
          <t>S/X·Cybertruck 매출</t>
        </is>
      </c>
      <c r="E64" s="4" t="inlineStr">
        <is>
          <t>2022</t>
        </is>
      </c>
      <c r="F64" s="9" t="inlineStr">
        <is>
          <t>I11</t>
        </is>
      </c>
      <c r="G64" s="4">
        <f>(I12*I13)</f>
        <v/>
      </c>
      <c r="H64" s="4" t="inlineStr">
        <is>
          <t>calculation</t>
        </is>
      </c>
    </row>
    <row r="65">
      <c r="B65" s="4" t="inlineStr">
        <is>
          <t>Model</t>
        </is>
      </c>
      <c r="C65" s="9" t="inlineStr">
        <is>
          <t>sales_sxc</t>
        </is>
      </c>
      <c r="D65" s="4" t="inlineStr">
        <is>
          <t>S/X·Cybertruck 매출</t>
        </is>
      </c>
      <c r="E65" s="4" t="inlineStr">
        <is>
          <t>2023</t>
        </is>
      </c>
      <c r="F65" s="9" t="inlineStr">
        <is>
          <t>J11</t>
        </is>
      </c>
      <c r="G65" s="4">
        <f>(J12*J13)</f>
        <v/>
      </c>
      <c r="H65" s="4" t="inlineStr">
        <is>
          <t>calculation</t>
        </is>
      </c>
    </row>
    <row r="66">
      <c r="B66" s="4" t="inlineStr">
        <is>
          <t>Model</t>
        </is>
      </c>
      <c r="C66" s="9" t="inlineStr">
        <is>
          <t>sales_sxc</t>
        </is>
      </c>
      <c r="D66" s="4" t="inlineStr">
        <is>
          <t>S/X·Cybertruck 매출</t>
        </is>
      </c>
      <c r="E66" s="4" t="inlineStr">
        <is>
          <t>2024</t>
        </is>
      </c>
      <c r="F66" s="9" t="inlineStr">
        <is>
          <t>K11</t>
        </is>
      </c>
      <c r="G66" s="4">
        <f>(K12*K13)</f>
        <v/>
      </c>
      <c r="H66" s="4" t="inlineStr">
        <is>
          <t>calculation</t>
        </is>
      </c>
    </row>
    <row r="67">
      <c r="B67" s="4" t="inlineStr">
        <is>
          <t>Model</t>
        </is>
      </c>
      <c r="C67" s="9" t="inlineStr">
        <is>
          <t>sales_sxc</t>
        </is>
      </c>
      <c r="D67" s="4" t="inlineStr">
        <is>
          <t>S/X·Cybertruck 매출</t>
        </is>
      </c>
      <c r="E67" s="4" t="inlineStr">
        <is>
          <t>2025</t>
        </is>
      </c>
      <c r="F67" s="9" t="inlineStr">
        <is>
          <t>L11</t>
        </is>
      </c>
      <c r="G67" s="4">
        <f>(L12*L13)</f>
        <v/>
      </c>
      <c r="H67" s="4" t="inlineStr">
        <is>
          <t>calculation</t>
        </is>
      </c>
    </row>
    <row r="68">
      <c r="B68" s="4" t="inlineStr">
        <is>
          <t>Model</t>
        </is>
      </c>
      <c r="C68" s="9" t="inlineStr">
        <is>
          <t>sales_sxc</t>
        </is>
      </c>
      <c r="D68" s="4" t="inlineStr">
        <is>
          <t>S/X·Cybertruck 매출</t>
        </is>
      </c>
      <c r="E68" s="4" t="inlineStr">
        <is>
          <t>2026</t>
        </is>
      </c>
      <c r="F68" s="9" t="inlineStr">
        <is>
          <t>M11</t>
        </is>
      </c>
      <c r="G68" s="4">
        <f>(M12*M13)</f>
        <v/>
      </c>
      <c r="H68" s="4" t="inlineStr">
        <is>
          <t>calculation</t>
        </is>
      </c>
    </row>
    <row r="69">
      <c r="B69" s="4" t="inlineStr">
        <is>
          <t>Model</t>
        </is>
      </c>
      <c r="C69" s="9" t="inlineStr">
        <is>
          <t>sales_sxc</t>
        </is>
      </c>
      <c r="D69" s="4" t="inlineStr">
        <is>
          <t>S/X·Cybertruck 매출</t>
        </is>
      </c>
      <c r="E69" s="4" t="inlineStr">
        <is>
          <t>2027</t>
        </is>
      </c>
      <c r="F69" s="9" t="inlineStr">
        <is>
          <t>N11</t>
        </is>
      </c>
      <c r="G69" s="4">
        <f>(N12*N13)</f>
        <v/>
      </c>
      <c r="H69" s="4" t="inlineStr">
        <is>
          <t>calculation</t>
        </is>
      </c>
    </row>
    <row r="70">
      <c r="B70" s="4" t="inlineStr">
        <is>
          <t>Model</t>
        </is>
      </c>
      <c r="C70" s="9" t="inlineStr">
        <is>
          <t>sales_sxc</t>
        </is>
      </c>
      <c r="D70" s="4" t="inlineStr">
        <is>
          <t>S/X·Cybertruck 매출</t>
        </is>
      </c>
      <c r="E70" s="4" t="inlineStr">
        <is>
          <t>2028</t>
        </is>
      </c>
      <c r="F70" s="9" t="inlineStr">
        <is>
          <t>O11</t>
        </is>
      </c>
      <c r="G70" s="4">
        <f>(O12*O13)</f>
        <v/>
      </c>
      <c r="H70" s="4" t="inlineStr">
        <is>
          <t>calculation</t>
        </is>
      </c>
    </row>
    <row r="71">
      <c r="B71" s="4" t="inlineStr">
        <is>
          <t>Model</t>
        </is>
      </c>
      <c r="C71" s="9" t="inlineStr">
        <is>
          <t>sales_sxc</t>
        </is>
      </c>
      <c r="D71" s="4" t="inlineStr">
        <is>
          <t>S/X·Cybertruck 매출</t>
        </is>
      </c>
      <c r="E71" s="4" t="inlineStr">
        <is>
          <t>2029</t>
        </is>
      </c>
      <c r="F71" s="9" t="inlineStr">
        <is>
          <t>P11</t>
        </is>
      </c>
      <c r="G71" s="4">
        <f>(P12*P13)</f>
        <v/>
      </c>
      <c r="H71" s="4" t="inlineStr">
        <is>
          <t>calculation</t>
        </is>
      </c>
    </row>
    <row r="72">
      <c r="B72" s="4" t="inlineStr">
        <is>
          <t>Model</t>
        </is>
      </c>
      <c r="C72" s="9" t="inlineStr">
        <is>
          <t>sales_sxc</t>
        </is>
      </c>
      <c r="D72" s="4" t="inlineStr">
        <is>
          <t>S/X·Cybertruck 매출</t>
        </is>
      </c>
      <c r="E72" s="4" t="inlineStr">
        <is>
          <t>2030</t>
        </is>
      </c>
      <c r="F72" s="9" t="inlineStr">
        <is>
          <t>Q11</t>
        </is>
      </c>
      <c r="G72" s="4">
        <f>(Q12*Q13)</f>
        <v/>
      </c>
      <c r="H72" s="4" t="inlineStr">
        <is>
          <t>calculation</t>
        </is>
      </c>
    </row>
    <row r="73">
      <c r="B73" s="4" t="inlineStr">
        <is>
          <t>Model</t>
        </is>
      </c>
      <c r="C73" s="9" t="inlineStr">
        <is>
          <t>sales_sxc</t>
        </is>
      </c>
      <c r="D73" s="4" t="inlineStr">
        <is>
          <t>S/X·Cybertruck 매출</t>
        </is>
      </c>
      <c r="E73" s="4" t="inlineStr">
        <is>
          <t>2031</t>
        </is>
      </c>
      <c r="F73" s="9" t="inlineStr">
        <is>
          <t>R11</t>
        </is>
      </c>
      <c r="G73" s="4">
        <f>(R12*R13)</f>
        <v/>
      </c>
      <c r="H73" s="4" t="inlineStr">
        <is>
          <t>calculation</t>
        </is>
      </c>
    </row>
    <row r="74">
      <c r="B74" s="4" t="inlineStr">
        <is>
          <t>Model</t>
        </is>
      </c>
      <c r="C74" s="9" t="inlineStr">
        <is>
          <t>del_sxc</t>
        </is>
      </c>
      <c r="D74" s="4" t="inlineStr">
        <is>
          <t>S/X·Cybertruck 인도량</t>
        </is>
      </c>
      <c r="E74" s="4" t="inlineStr">
        <is>
          <t>2022</t>
        </is>
      </c>
      <c r="F74" s="9" t="inlineStr">
        <is>
          <t>I12</t>
        </is>
      </c>
      <c r="G74" s="4">
        <f>'Assumptions'!I7</f>
        <v/>
      </c>
      <c r="H74" s="4" t="inlineStr">
        <is>
          <t>input link</t>
        </is>
      </c>
    </row>
    <row r="75">
      <c r="B75" s="4" t="inlineStr">
        <is>
          <t>Model</t>
        </is>
      </c>
      <c r="C75" s="9" t="inlineStr">
        <is>
          <t>del_sxc</t>
        </is>
      </c>
      <c r="D75" s="4" t="inlineStr">
        <is>
          <t>S/X·Cybertruck 인도량</t>
        </is>
      </c>
      <c r="E75" s="4" t="inlineStr">
        <is>
          <t>2023</t>
        </is>
      </c>
      <c r="F75" s="9" t="inlineStr">
        <is>
          <t>J12</t>
        </is>
      </c>
      <c r="G75" s="4">
        <f>'Assumptions'!J7</f>
        <v/>
      </c>
      <c r="H75" s="4" t="inlineStr">
        <is>
          <t>input link</t>
        </is>
      </c>
    </row>
    <row r="76">
      <c r="B76" s="4" t="inlineStr">
        <is>
          <t>Model</t>
        </is>
      </c>
      <c r="C76" s="9" t="inlineStr">
        <is>
          <t>del_sxc</t>
        </is>
      </c>
      <c r="D76" s="4" t="inlineStr">
        <is>
          <t>S/X·Cybertruck 인도량</t>
        </is>
      </c>
      <c r="E76" s="4" t="inlineStr">
        <is>
          <t>2024</t>
        </is>
      </c>
      <c r="F76" s="9" t="inlineStr">
        <is>
          <t>K12</t>
        </is>
      </c>
      <c r="G76" s="4">
        <f>'Assumptions'!K7</f>
        <v/>
      </c>
      <c r="H76" s="4" t="inlineStr">
        <is>
          <t>input link</t>
        </is>
      </c>
    </row>
    <row r="77">
      <c r="B77" s="4" t="inlineStr">
        <is>
          <t>Model</t>
        </is>
      </c>
      <c r="C77" s="9" t="inlineStr">
        <is>
          <t>del_sxc</t>
        </is>
      </c>
      <c r="D77" s="4" t="inlineStr">
        <is>
          <t>S/X·Cybertruck 인도량</t>
        </is>
      </c>
      <c r="E77" s="4" t="inlineStr">
        <is>
          <t>2025</t>
        </is>
      </c>
      <c r="F77" s="9" t="inlineStr">
        <is>
          <t>L12</t>
        </is>
      </c>
      <c r="G77" s="4">
        <f>'Assumptions'!L7</f>
        <v/>
      </c>
      <c r="H77" s="4" t="inlineStr">
        <is>
          <t>input link</t>
        </is>
      </c>
    </row>
    <row r="78">
      <c r="B78" s="4" t="inlineStr">
        <is>
          <t>Model</t>
        </is>
      </c>
      <c r="C78" s="9" t="inlineStr">
        <is>
          <t>del_sxc</t>
        </is>
      </c>
      <c r="D78" s="4" t="inlineStr">
        <is>
          <t>S/X·Cybertruck 인도량</t>
        </is>
      </c>
      <c r="E78" s="4" t="inlineStr">
        <is>
          <t>2026</t>
        </is>
      </c>
      <c r="F78" s="9" t="inlineStr">
        <is>
          <t>M12</t>
        </is>
      </c>
      <c r="G78" s="4">
        <f>'Assumptions'!M7</f>
        <v/>
      </c>
      <c r="H78" s="4" t="inlineStr">
        <is>
          <t>input link</t>
        </is>
      </c>
    </row>
    <row r="79">
      <c r="B79" s="4" t="inlineStr">
        <is>
          <t>Model</t>
        </is>
      </c>
      <c r="C79" s="9" t="inlineStr">
        <is>
          <t>del_sxc</t>
        </is>
      </c>
      <c r="D79" s="4" t="inlineStr">
        <is>
          <t>S/X·Cybertruck 인도량</t>
        </is>
      </c>
      <c r="E79" s="4" t="inlineStr">
        <is>
          <t>2027</t>
        </is>
      </c>
      <c r="F79" s="9" t="inlineStr">
        <is>
          <t>N12</t>
        </is>
      </c>
      <c r="G79" s="4">
        <f>'Assumptions'!N7</f>
        <v/>
      </c>
      <c r="H79" s="4" t="inlineStr">
        <is>
          <t>input link</t>
        </is>
      </c>
    </row>
    <row r="80">
      <c r="B80" s="4" t="inlineStr">
        <is>
          <t>Model</t>
        </is>
      </c>
      <c r="C80" s="9" t="inlineStr">
        <is>
          <t>del_sxc</t>
        </is>
      </c>
      <c r="D80" s="4" t="inlineStr">
        <is>
          <t>S/X·Cybertruck 인도량</t>
        </is>
      </c>
      <c r="E80" s="4" t="inlineStr">
        <is>
          <t>2028</t>
        </is>
      </c>
      <c r="F80" s="9" t="inlineStr">
        <is>
          <t>O12</t>
        </is>
      </c>
      <c r="G80" s="4">
        <f>'Assumptions'!O7</f>
        <v/>
      </c>
      <c r="H80" s="4" t="inlineStr">
        <is>
          <t>input link</t>
        </is>
      </c>
    </row>
    <row r="81">
      <c r="B81" s="4" t="inlineStr">
        <is>
          <t>Model</t>
        </is>
      </c>
      <c r="C81" s="9" t="inlineStr">
        <is>
          <t>del_sxc</t>
        </is>
      </c>
      <c r="D81" s="4" t="inlineStr">
        <is>
          <t>S/X·Cybertruck 인도량</t>
        </is>
      </c>
      <c r="E81" s="4" t="inlineStr">
        <is>
          <t>2029</t>
        </is>
      </c>
      <c r="F81" s="9" t="inlineStr">
        <is>
          <t>P12</t>
        </is>
      </c>
      <c r="G81" s="4">
        <f>'Assumptions'!P7</f>
        <v/>
      </c>
      <c r="H81" s="4" t="inlineStr">
        <is>
          <t>input link</t>
        </is>
      </c>
    </row>
    <row r="82">
      <c r="B82" s="4" t="inlineStr">
        <is>
          <t>Model</t>
        </is>
      </c>
      <c r="C82" s="9" t="inlineStr">
        <is>
          <t>del_sxc</t>
        </is>
      </c>
      <c r="D82" s="4" t="inlineStr">
        <is>
          <t>S/X·Cybertruck 인도량</t>
        </is>
      </c>
      <c r="E82" s="4" t="inlineStr">
        <is>
          <t>2030</t>
        </is>
      </c>
      <c r="F82" s="9" t="inlineStr">
        <is>
          <t>Q12</t>
        </is>
      </c>
      <c r="G82" s="4">
        <f>'Assumptions'!Q7</f>
        <v/>
      </c>
      <c r="H82" s="4" t="inlineStr">
        <is>
          <t>input link</t>
        </is>
      </c>
    </row>
    <row r="83">
      <c r="B83" s="4" t="inlineStr">
        <is>
          <t>Model</t>
        </is>
      </c>
      <c r="C83" s="9" t="inlineStr">
        <is>
          <t>del_sxc</t>
        </is>
      </c>
      <c r="D83" s="4" t="inlineStr">
        <is>
          <t>S/X·Cybertruck 인도량</t>
        </is>
      </c>
      <c r="E83" s="4" t="inlineStr">
        <is>
          <t>2031</t>
        </is>
      </c>
      <c r="F83" s="9" t="inlineStr">
        <is>
          <t>R12</t>
        </is>
      </c>
      <c r="G83" s="4">
        <f>'Assumptions'!R7</f>
        <v/>
      </c>
      <c r="H83" s="4" t="inlineStr">
        <is>
          <t>input link</t>
        </is>
      </c>
    </row>
    <row r="84">
      <c r="B84" s="4" t="inlineStr">
        <is>
          <t>Model</t>
        </is>
      </c>
      <c r="C84" s="9" t="inlineStr">
        <is>
          <t>asp_sxc</t>
        </is>
      </c>
      <c r="D84" s="4" t="inlineStr">
        <is>
          <t>S/X·Cybertruck ASP</t>
        </is>
      </c>
      <c r="E84" s="4" t="inlineStr">
        <is>
          <t>2022</t>
        </is>
      </c>
      <c r="F84" s="9" t="inlineStr">
        <is>
          <t>I13</t>
        </is>
      </c>
      <c r="G84" s="4">
        <f>'Assumptions'!I8</f>
        <v/>
      </c>
      <c r="H84" s="4" t="inlineStr">
        <is>
          <t>input link</t>
        </is>
      </c>
    </row>
    <row r="85">
      <c r="B85" s="4" t="inlineStr">
        <is>
          <t>Model</t>
        </is>
      </c>
      <c r="C85" s="9" t="inlineStr">
        <is>
          <t>asp_sxc</t>
        </is>
      </c>
      <c r="D85" s="4" t="inlineStr">
        <is>
          <t>S/X·Cybertruck ASP</t>
        </is>
      </c>
      <c r="E85" s="4" t="inlineStr">
        <is>
          <t>2023</t>
        </is>
      </c>
      <c r="F85" s="9" t="inlineStr">
        <is>
          <t>J13</t>
        </is>
      </c>
      <c r="G85" s="4">
        <f>'Assumptions'!J8</f>
        <v/>
      </c>
      <c r="H85" s="4" t="inlineStr">
        <is>
          <t>input link</t>
        </is>
      </c>
    </row>
    <row r="86">
      <c r="B86" s="4" t="inlineStr">
        <is>
          <t>Model</t>
        </is>
      </c>
      <c r="C86" s="9" t="inlineStr">
        <is>
          <t>asp_sxc</t>
        </is>
      </c>
      <c r="D86" s="4" t="inlineStr">
        <is>
          <t>S/X·Cybertruck ASP</t>
        </is>
      </c>
      <c r="E86" s="4" t="inlineStr">
        <is>
          <t>2024</t>
        </is>
      </c>
      <c r="F86" s="9" t="inlineStr">
        <is>
          <t>K13</t>
        </is>
      </c>
      <c r="G86" s="4">
        <f>'Assumptions'!K8</f>
        <v/>
      </c>
      <c r="H86" s="4" t="inlineStr">
        <is>
          <t>input link</t>
        </is>
      </c>
    </row>
    <row r="87">
      <c r="B87" s="4" t="inlineStr">
        <is>
          <t>Model</t>
        </is>
      </c>
      <c r="C87" s="9" t="inlineStr">
        <is>
          <t>asp_sxc</t>
        </is>
      </c>
      <c r="D87" s="4" t="inlineStr">
        <is>
          <t>S/X·Cybertruck ASP</t>
        </is>
      </c>
      <c r="E87" s="4" t="inlineStr">
        <is>
          <t>2025</t>
        </is>
      </c>
      <c r="F87" s="9" t="inlineStr">
        <is>
          <t>L13</t>
        </is>
      </c>
      <c r="G87" s="4">
        <f>'Assumptions'!L8</f>
        <v/>
      </c>
      <c r="H87" s="4" t="inlineStr">
        <is>
          <t>input link</t>
        </is>
      </c>
    </row>
    <row r="88">
      <c r="B88" s="4" t="inlineStr">
        <is>
          <t>Model</t>
        </is>
      </c>
      <c r="C88" s="9" t="inlineStr">
        <is>
          <t>asp_sxc</t>
        </is>
      </c>
      <c r="D88" s="4" t="inlineStr">
        <is>
          <t>S/X·Cybertruck ASP</t>
        </is>
      </c>
      <c r="E88" s="4" t="inlineStr">
        <is>
          <t>2026</t>
        </is>
      </c>
      <c r="F88" s="9" t="inlineStr">
        <is>
          <t>M13</t>
        </is>
      </c>
      <c r="G88" s="4">
        <f>'Assumptions'!M8</f>
        <v/>
      </c>
      <c r="H88" s="4" t="inlineStr">
        <is>
          <t>input link</t>
        </is>
      </c>
    </row>
    <row r="89">
      <c r="B89" s="4" t="inlineStr">
        <is>
          <t>Model</t>
        </is>
      </c>
      <c r="C89" s="9" t="inlineStr">
        <is>
          <t>asp_sxc</t>
        </is>
      </c>
      <c r="D89" s="4" t="inlineStr">
        <is>
          <t>S/X·Cybertruck ASP</t>
        </is>
      </c>
      <c r="E89" s="4" t="inlineStr">
        <is>
          <t>2027</t>
        </is>
      </c>
      <c r="F89" s="9" t="inlineStr">
        <is>
          <t>N13</t>
        </is>
      </c>
      <c r="G89" s="4">
        <f>'Assumptions'!N8</f>
        <v/>
      </c>
      <c r="H89" s="4" t="inlineStr">
        <is>
          <t>input link</t>
        </is>
      </c>
    </row>
    <row r="90">
      <c r="B90" s="4" t="inlineStr">
        <is>
          <t>Model</t>
        </is>
      </c>
      <c r="C90" s="9" t="inlineStr">
        <is>
          <t>asp_sxc</t>
        </is>
      </c>
      <c r="D90" s="4" t="inlineStr">
        <is>
          <t>S/X·Cybertruck ASP</t>
        </is>
      </c>
      <c r="E90" s="4" t="inlineStr">
        <is>
          <t>2028</t>
        </is>
      </c>
      <c r="F90" s="9" t="inlineStr">
        <is>
          <t>O13</t>
        </is>
      </c>
      <c r="G90" s="4">
        <f>'Assumptions'!O8</f>
        <v/>
      </c>
      <c r="H90" s="4" t="inlineStr">
        <is>
          <t>input link</t>
        </is>
      </c>
    </row>
    <row r="91">
      <c r="B91" s="4" t="inlineStr">
        <is>
          <t>Model</t>
        </is>
      </c>
      <c r="C91" s="9" t="inlineStr">
        <is>
          <t>asp_sxc</t>
        </is>
      </c>
      <c r="D91" s="4" t="inlineStr">
        <is>
          <t>S/X·Cybertruck ASP</t>
        </is>
      </c>
      <c r="E91" s="4" t="inlineStr">
        <is>
          <t>2029</t>
        </is>
      </c>
      <c r="F91" s="9" t="inlineStr">
        <is>
          <t>P13</t>
        </is>
      </c>
      <c r="G91" s="4">
        <f>'Assumptions'!P8</f>
        <v/>
      </c>
      <c r="H91" s="4" t="inlineStr">
        <is>
          <t>input link</t>
        </is>
      </c>
    </row>
    <row r="92">
      <c r="B92" s="4" t="inlineStr">
        <is>
          <t>Model</t>
        </is>
      </c>
      <c r="C92" s="9" t="inlineStr">
        <is>
          <t>asp_sxc</t>
        </is>
      </c>
      <c r="D92" s="4" t="inlineStr">
        <is>
          <t>S/X·Cybertruck ASP</t>
        </is>
      </c>
      <c r="E92" s="4" t="inlineStr">
        <is>
          <t>2030</t>
        </is>
      </c>
      <c r="F92" s="9" t="inlineStr">
        <is>
          <t>Q13</t>
        </is>
      </c>
      <c r="G92" s="4">
        <f>'Assumptions'!Q8</f>
        <v/>
      </c>
      <c r="H92" s="4" t="inlineStr">
        <is>
          <t>input link</t>
        </is>
      </c>
    </row>
    <row r="93">
      <c r="B93" s="4" t="inlineStr">
        <is>
          <t>Model</t>
        </is>
      </c>
      <c r="C93" s="9" t="inlineStr">
        <is>
          <t>asp_sxc</t>
        </is>
      </c>
      <c r="D93" s="4" t="inlineStr">
        <is>
          <t>S/X·Cybertruck ASP</t>
        </is>
      </c>
      <c r="E93" s="4" t="inlineStr">
        <is>
          <t>2031</t>
        </is>
      </c>
      <c r="F93" s="9" t="inlineStr">
        <is>
          <t>R13</t>
        </is>
      </c>
      <c r="G93" s="4">
        <f>'Assumptions'!R8</f>
        <v/>
      </c>
      <c r="H93" s="4" t="inlineStr">
        <is>
          <t>input link</t>
        </is>
      </c>
    </row>
    <row r="94">
      <c r="B94" s="4" t="inlineStr">
        <is>
          <t>Model</t>
        </is>
      </c>
      <c r="C94" s="9" t="inlineStr">
        <is>
          <t>sales_new</t>
        </is>
      </c>
      <c r="D94" s="4" t="inlineStr">
        <is>
          <t>신규 저가모델 매출</t>
        </is>
      </c>
      <c r="E94" s="4" t="inlineStr">
        <is>
          <t>2022</t>
        </is>
      </c>
      <c r="F94" s="9" t="inlineStr">
        <is>
          <t>I14</t>
        </is>
      </c>
      <c r="G94" s="4">
        <f>(I15*I16)</f>
        <v/>
      </c>
      <c r="H94" s="4" t="inlineStr">
        <is>
          <t>calculation</t>
        </is>
      </c>
    </row>
    <row r="95">
      <c r="B95" s="4" t="inlineStr">
        <is>
          <t>Model</t>
        </is>
      </c>
      <c r="C95" s="9" t="inlineStr">
        <is>
          <t>sales_new</t>
        </is>
      </c>
      <c r="D95" s="4" t="inlineStr">
        <is>
          <t>신규 저가모델 매출</t>
        </is>
      </c>
      <c r="E95" s="4" t="inlineStr">
        <is>
          <t>2023</t>
        </is>
      </c>
      <c r="F95" s="9" t="inlineStr">
        <is>
          <t>J14</t>
        </is>
      </c>
      <c r="G95" s="4">
        <f>(J15*J16)</f>
        <v/>
      </c>
      <c r="H95" s="4" t="inlineStr">
        <is>
          <t>calculation</t>
        </is>
      </c>
    </row>
    <row r="96">
      <c r="B96" s="4" t="inlineStr">
        <is>
          <t>Model</t>
        </is>
      </c>
      <c r="C96" s="9" t="inlineStr">
        <is>
          <t>sales_new</t>
        </is>
      </c>
      <c r="D96" s="4" t="inlineStr">
        <is>
          <t>신규 저가모델 매출</t>
        </is>
      </c>
      <c r="E96" s="4" t="inlineStr">
        <is>
          <t>2024</t>
        </is>
      </c>
      <c r="F96" s="9" t="inlineStr">
        <is>
          <t>K14</t>
        </is>
      </c>
      <c r="G96" s="4">
        <f>(K15*K16)</f>
        <v/>
      </c>
      <c r="H96" s="4" t="inlineStr">
        <is>
          <t>calculation</t>
        </is>
      </c>
    </row>
    <row r="97">
      <c r="B97" s="4" t="inlineStr">
        <is>
          <t>Model</t>
        </is>
      </c>
      <c r="C97" s="9" t="inlineStr">
        <is>
          <t>sales_new</t>
        </is>
      </c>
      <c r="D97" s="4" t="inlineStr">
        <is>
          <t>신규 저가모델 매출</t>
        </is>
      </c>
      <c r="E97" s="4" t="inlineStr">
        <is>
          <t>2025</t>
        </is>
      </c>
      <c r="F97" s="9" t="inlineStr">
        <is>
          <t>L14</t>
        </is>
      </c>
      <c r="G97" s="4">
        <f>(L15*L16)</f>
        <v/>
      </c>
      <c r="H97" s="4" t="inlineStr">
        <is>
          <t>calculation</t>
        </is>
      </c>
    </row>
    <row r="98">
      <c r="B98" s="4" t="inlineStr">
        <is>
          <t>Model</t>
        </is>
      </c>
      <c r="C98" s="9" t="inlineStr">
        <is>
          <t>sales_new</t>
        </is>
      </c>
      <c r="D98" s="4" t="inlineStr">
        <is>
          <t>신규 저가모델 매출</t>
        </is>
      </c>
      <c r="E98" s="4" t="inlineStr">
        <is>
          <t>2026</t>
        </is>
      </c>
      <c r="F98" s="9" t="inlineStr">
        <is>
          <t>M14</t>
        </is>
      </c>
      <c r="G98" s="4">
        <f>(M15*M16)</f>
        <v/>
      </c>
      <c r="H98" s="4" t="inlineStr">
        <is>
          <t>calculation</t>
        </is>
      </c>
    </row>
    <row r="99">
      <c r="B99" s="4" t="inlineStr">
        <is>
          <t>Model</t>
        </is>
      </c>
      <c r="C99" s="9" t="inlineStr">
        <is>
          <t>sales_new</t>
        </is>
      </c>
      <c r="D99" s="4" t="inlineStr">
        <is>
          <t>신규 저가모델 매출</t>
        </is>
      </c>
      <c r="E99" s="4" t="inlineStr">
        <is>
          <t>2027</t>
        </is>
      </c>
      <c r="F99" s="9" t="inlineStr">
        <is>
          <t>N14</t>
        </is>
      </c>
      <c r="G99" s="4">
        <f>(N15*N16)</f>
        <v/>
      </c>
      <c r="H99" s="4" t="inlineStr">
        <is>
          <t>calculation</t>
        </is>
      </c>
    </row>
    <row r="100">
      <c r="B100" s="4" t="inlineStr">
        <is>
          <t>Model</t>
        </is>
      </c>
      <c r="C100" s="9" t="inlineStr">
        <is>
          <t>sales_new</t>
        </is>
      </c>
      <c r="D100" s="4" t="inlineStr">
        <is>
          <t>신규 저가모델 매출</t>
        </is>
      </c>
      <c r="E100" s="4" t="inlineStr">
        <is>
          <t>2028</t>
        </is>
      </c>
      <c r="F100" s="9" t="inlineStr">
        <is>
          <t>O14</t>
        </is>
      </c>
      <c r="G100" s="4">
        <f>(O15*O16)</f>
        <v/>
      </c>
      <c r="H100" s="4" t="inlineStr">
        <is>
          <t>calculation</t>
        </is>
      </c>
    </row>
    <row r="101">
      <c r="B101" s="4" t="inlineStr">
        <is>
          <t>Model</t>
        </is>
      </c>
      <c r="C101" s="9" t="inlineStr">
        <is>
          <t>sales_new</t>
        </is>
      </c>
      <c r="D101" s="4" t="inlineStr">
        <is>
          <t>신규 저가모델 매출</t>
        </is>
      </c>
      <c r="E101" s="4" t="inlineStr">
        <is>
          <t>2029</t>
        </is>
      </c>
      <c r="F101" s="9" t="inlineStr">
        <is>
          <t>P14</t>
        </is>
      </c>
      <c r="G101" s="4">
        <f>(P15*P16)</f>
        <v/>
      </c>
      <c r="H101" s="4" t="inlineStr">
        <is>
          <t>calculation</t>
        </is>
      </c>
    </row>
    <row r="102">
      <c r="B102" s="4" t="inlineStr">
        <is>
          <t>Model</t>
        </is>
      </c>
      <c r="C102" s="9" t="inlineStr">
        <is>
          <t>sales_new</t>
        </is>
      </c>
      <c r="D102" s="4" t="inlineStr">
        <is>
          <t>신규 저가모델 매출</t>
        </is>
      </c>
      <c r="E102" s="4" t="inlineStr">
        <is>
          <t>2030</t>
        </is>
      </c>
      <c r="F102" s="9" t="inlineStr">
        <is>
          <t>Q14</t>
        </is>
      </c>
      <c r="G102" s="4">
        <f>(Q15*Q16)</f>
        <v/>
      </c>
      <c r="H102" s="4" t="inlineStr">
        <is>
          <t>calculation</t>
        </is>
      </c>
    </row>
    <row r="103">
      <c r="B103" s="4" t="inlineStr">
        <is>
          <t>Model</t>
        </is>
      </c>
      <c r="C103" s="9" t="inlineStr">
        <is>
          <t>sales_new</t>
        </is>
      </c>
      <c r="D103" s="4" t="inlineStr">
        <is>
          <t>신규 저가모델 매출</t>
        </is>
      </c>
      <c r="E103" s="4" t="inlineStr">
        <is>
          <t>2031</t>
        </is>
      </c>
      <c r="F103" s="9" t="inlineStr">
        <is>
          <t>R14</t>
        </is>
      </c>
      <c r="G103" s="4">
        <f>(R15*R16)</f>
        <v/>
      </c>
      <c r="H103" s="4" t="inlineStr">
        <is>
          <t>calculation</t>
        </is>
      </c>
    </row>
    <row r="104">
      <c r="B104" s="4" t="inlineStr">
        <is>
          <t>Model</t>
        </is>
      </c>
      <c r="C104" s="9" t="inlineStr">
        <is>
          <t>del_new</t>
        </is>
      </c>
      <c r="D104" s="4" t="inlineStr">
        <is>
          <t>신규 저가모델 인도량</t>
        </is>
      </c>
      <c r="E104" s="4" t="inlineStr">
        <is>
          <t>2022</t>
        </is>
      </c>
      <c r="F104" s="9" t="inlineStr">
        <is>
          <t>I15</t>
        </is>
      </c>
      <c r="G104" s="4">
        <f>'Assumptions'!I9</f>
        <v/>
      </c>
      <c r="H104" s="4" t="inlineStr">
        <is>
          <t>input link</t>
        </is>
      </c>
    </row>
    <row r="105">
      <c r="B105" s="4" t="inlineStr">
        <is>
          <t>Model</t>
        </is>
      </c>
      <c r="C105" s="9" t="inlineStr">
        <is>
          <t>del_new</t>
        </is>
      </c>
      <c r="D105" s="4" t="inlineStr">
        <is>
          <t>신규 저가모델 인도량</t>
        </is>
      </c>
      <c r="E105" s="4" t="inlineStr">
        <is>
          <t>2023</t>
        </is>
      </c>
      <c r="F105" s="9" t="inlineStr">
        <is>
          <t>J15</t>
        </is>
      </c>
      <c r="G105" s="4">
        <f>'Assumptions'!J9</f>
        <v/>
      </c>
      <c r="H105" s="4" t="inlineStr">
        <is>
          <t>input link</t>
        </is>
      </c>
    </row>
    <row r="106">
      <c r="B106" s="4" t="inlineStr">
        <is>
          <t>Model</t>
        </is>
      </c>
      <c r="C106" s="9" t="inlineStr">
        <is>
          <t>del_new</t>
        </is>
      </c>
      <c r="D106" s="4" t="inlineStr">
        <is>
          <t>신규 저가모델 인도량</t>
        </is>
      </c>
      <c r="E106" s="4" t="inlineStr">
        <is>
          <t>2024</t>
        </is>
      </c>
      <c r="F106" s="9" t="inlineStr">
        <is>
          <t>K15</t>
        </is>
      </c>
      <c r="G106" s="4">
        <f>'Assumptions'!K9</f>
        <v/>
      </c>
      <c r="H106" s="4" t="inlineStr">
        <is>
          <t>input link</t>
        </is>
      </c>
    </row>
    <row r="107">
      <c r="B107" s="4" t="inlineStr">
        <is>
          <t>Model</t>
        </is>
      </c>
      <c r="C107" s="9" t="inlineStr">
        <is>
          <t>del_new</t>
        </is>
      </c>
      <c r="D107" s="4" t="inlineStr">
        <is>
          <t>신규 저가모델 인도량</t>
        </is>
      </c>
      <c r="E107" s="4" t="inlineStr">
        <is>
          <t>2025</t>
        </is>
      </c>
      <c r="F107" s="9" t="inlineStr">
        <is>
          <t>L15</t>
        </is>
      </c>
      <c r="G107" s="4">
        <f>'Assumptions'!L9</f>
        <v/>
      </c>
      <c r="H107" s="4" t="inlineStr">
        <is>
          <t>input link</t>
        </is>
      </c>
    </row>
    <row r="108">
      <c r="B108" s="4" t="inlineStr">
        <is>
          <t>Model</t>
        </is>
      </c>
      <c r="C108" s="9" t="inlineStr">
        <is>
          <t>del_new</t>
        </is>
      </c>
      <c r="D108" s="4" t="inlineStr">
        <is>
          <t>신규 저가모델 인도량</t>
        </is>
      </c>
      <c r="E108" s="4" t="inlineStr">
        <is>
          <t>2026</t>
        </is>
      </c>
      <c r="F108" s="9" t="inlineStr">
        <is>
          <t>M15</t>
        </is>
      </c>
      <c r="G108" s="4">
        <f>'Assumptions'!M9</f>
        <v/>
      </c>
      <c r="H108" s="4" t="inlineStr">
        <is>
          <t>input link</t>
        </is>
      </c>
    </row>
    <row r="109">
      <c r="B109" s="4" t="inlineStr">
        <is>
          <t>Model</t>
        </is>
      </c>
      <c r="C109" s="9" t="inlineStr">
        <is>
          <t>del_new</t>
        </is>
      </c>
      <c r="D109" s="4" t="inlineStr">
        <is>
          <t>신규 저가모델 인도량</t>
        </is>
      </c>
      <c r="E109" s="4" t="inlineStr">
        <is>
          <t>2027</t>
        </is>
      </c>
      <c r="F109" s="9" t="inlineStr">
        <is>
          <t>N15</t>
        </is>
      </c>
      <c r="G109" s="4">
        <f>'Assumptions'!N9</f>
        <v/>
      </c>
      <c r="H109" s="4" t="inlineStr">
        <is>
          <t>input link</t>
        </is>
      </c>
    </row>
    <row r="110">
      <c r="B110" s="4" t="inlineStr">
        <is>
          <t>Model</t>
        </is>
      </c>
      <c r="C110" s="9" t="inlineStr">
        <is>
          <t>del_new</t>
        </is>
      </c>
      <c r="D110" s="4" t="inlineStr">
        <is>
          <t>신규 저가모델 인도량</t>
        </is>
      </c>
      <c r="E110" s="4" t="inlineStr">
        <is>
          <t>2028</t>
        </is>
      </c>
      <c r="F110" s="9" t="inlineStr">
        <is>
          <t>O15</t>
        </is>
      </c>
      <c r="G110" s="4">
        <f>'Assumptions'!O9</f>
        <v/>
      </c>
      <c r="H110" s="4" t="inlineStr">
        <is>
          <t>input link</t>
        </is>
      </c>
    </row>
    <row r="111">
      <c r="B111" s="4" t="inlineStr">
        <is>
          <t>Model</t>
        </is>
      </c>
      <c r="C111" s="9" t="inlineStr">
        <is>
          <t>del_new</t>
        </is>
      </c>
      <c r="D111" s="4" t="inlineStr">
        <is>
          <t>신규 저가모델 인도량</t>
        </is>
      </c>
      <c r="E111" s="4" t="inlineStr">
        <is>
          <t>2029</t>
        </is>
      </c>
      <c r="F111" s="9" t="inlineStr">
        <is>
          <t>P15</t>
        </is>
      </c>
      <c r="G111" s="4">
        <f>'Assumptions'!P9</f>
        <v/>
      </c>
      <c r="H111" s="4" t="inlineStr">
        <is>
          <t>input link</t>
        </is>
      </c>
    </row>
    <row r="112">
      <c r="B112" s="4" t="inlineStr">
        <is>
          <t>Model</t>
        </is>
      </c>
      <c r="C112" s="9" t="inlineStr">
        <is>
          <t>del_new</t>
        </is>
      </c>
      <c r="D112" s="4" t="inlineStr">
        <is>
          <t>신규 저가모델 인도량</t>
        </is>
      </c>
      <c r="E112" s="4" t="inlineStr">
        <is>
          <t>2030</t>
        </is>
      </c>
      <c r="F112" s="9" t="inlineStr">
        <is>
          <t>Q15</t>
        </is>
      </c>
      <c r="G112" s="4">
        <f>'Assumptions'!Q9</f>
        <v/>
      </c>
      <c r="H112" s="4" t="inlineStr">
        <is>
          <t>input link</t>
        </is>
      </c>
    </row>
    <row r="113">
      <c r="B113" s="4" t="inlineStr">
        <is>
          <t>Model</t>
        </is>
      </c>
      <c r="C113" s="9" t="inlineStr">
        <is>
          <t>del_new</t>
        </is>
      </c>
      <c r="D113" s="4" t="inlineStr">
        <is>
          <t>신규 저가모델 인도량</t>
        </is>
      </c>
      <c r="E113" s="4" t="inlineStr">
        <is>
          <t>2031</t>
        </is>
      </c>
      <c r="F113" s="9" t="inlineStr">
        <is>
          <t>R15</t>
        </is>
      </c>
      <c r="G113" s="4">
        <f>'Assumptions'!R9</f>
        <v/>
      </c>
      <c r="H113" s="4" t="inlineStr">
        <is>
          <t>input link</t>
        </is>
      </c>
    </row>
    <row r="114">
      <c r="B114" s="4" t="inlineStr">
        <is>
          <t>Model</t>
        </is>
      </c>
      <c r="C114" s="9" t="inlineStr">
        <is>
          <t>asp_new</t>
        </is>
      </c>
      <c r="D114" s="4" t="inlineStr">
        <is>
          <t>신규 저가모델 ASP</t>
        </is>
      </c>
      <c r="E114" s="4" t="inlineStr">
        <is>
          <t>2022</t>
        </is>
      </c>
      <c r="F114" s="9" t="inlineStr">
        <is>
          <t>I16</t>
        </is>
      </c>
      <c r="G114" s="4">
        <f>'Assumptions'!I10</f>
        <v/>
      </c>
      <c r="H114" s="4" t="inlineStr">
        <is>
          <t>input link</t>
        </is>
      </c>
    </row>
    <row r="115">
      <c r="B115" s="4" t="inlineStr">
        <is>
          <t>Model</t>
        </is>
      </c>
      <c r="C115" s="9" t="inlineStr">
        <is>
          <t>asp_new</t>
        </is>
      </c>
      <c r="D115" s="4" t="inlineStr">
        <is>
          <t>신규 저가모델 ASP</t>
        </is>
      </c>
      <c r="E115" s="4" t="inlineStr">
        <is>
          <t>2023</t>
        </is>
      </c>
      <c r="F115" s="9" t="inlineStr">
        <is>
          <t>J16</t>
        </is>
      </c>
      <c r="G115" s="4">
        <f>'Assumptions'!J10</f>
        <v/>
      </c>
      <c r="H115" s="4" t="inlineStr">
        <is>
          <t>input link</t>
        </is>
      </c>
    </row>
    <row r="116">
      <c r="B116" s="4" t="inlineStr">
        <is>
          <t>Model</t>
        </is>
      </c>
      <c r="C116" s="9" t="inlineStr">
        <is>
          <t>asp_new</t>
        </is>
      </c>
      <c r="D116" s="4" t="inlineStr">
        <is>
          <t>신규 저가모델 ASP</t>
        </is>
      </c>
      <c r="E116" s="4" t="inlineStr">
        <is>
          <t>2024</t>
        </is>
      </c>
      <c r="F116" s="9" t="inlineStr">
        <is>
          <t>K16</t>
        </is>
      </c>
      <c r="G116" s="4">
        <f>'Assumptions'!K10</f>
        <v/>
      </c>
      <c r="H116" s="4" t="inlineStr">
        <is>
          <t>input link</t>
        </is>
      </c>
    </row>
    <row r="117">
      <c r="B117" s="4" t="inlineStr">
        <is>
          <t>Model</t>
        </is>
      </c>
      <c r="C117" s="9" t="inlineStr">
        <is>
          <t>asp_new</t>
        </is>
      </c>
      <c r="D117" s="4" t="inlineStr">
        <is>
          <t>신규 저가모델 ASP</t>
        </is>
      </c>
      <c r="E117" s="4" t="inlineStr">
        <is>
          <t>2025</t>
        </is>
      </c>
      <c r="F117" s="9" t="inlineStr">
        <is>
          <t>L16</t>
        </is>
      </c>
      <c r="G117" s="4">
        <f>'Assumptions'!L10</f>
        <v/>
      </c>
      <c r="H117" s="4" t="inlineStr">
        <is>
          <t>input link</t>
        </is>
      </c>
    </row>
    <row r="118">
      <c r="B118" s="4" t="inlineStr">
        <is>
          <t>Model</t>
        </is>
      </c>
      <c r="C118" s="9" t="inlineStr">
        <is>
          <t>asp_new</t>
        </is>
      </c>
      <c r="D118" s="4" t="inlineStr">
        <is>
          <t>신규 저가모델 ASP</t>
        </is>
      </c>
      <c r="E118" s="4" t="inlineStr">
        <is>
          <t>2026</t>
        </is>
      </c>
      <c r="F118" s="9" t="inlineStr">
        <is>
          <t>M16</t>
        </is>
      </c>
      <c r="G118" s="4">
        <f>'Assumptions'!M10</f>
        <v/>
      </c>
      <c r="H118" s="4" t="inlineStr">
        <is>
          <t>input link</t>
        </is>
      </c>
    </row>
    <row r="119">
      <c r="B119" s="4" t="inlineStr">
        <is>
          <t>Model</t>
        </is>
      </c>
      <c r="C119" s="9" t="inlineStr">
        <is>
          <t>asp_new</t>
        </is>
      </c>
      <c r="D119" s="4" t="inlineStr">
        <is>
          <t>신규 저가모델 ASP</t>
        </is>
      </c>
      <c r="E119" s="4" t="inlineStr">
        <is>
          <t>2027</t>
        </is>
      </c>
      <c r="F119" s="9" t="inlineStr">
        <is>
          <t>N16</t>
        </is>
      </c>
      <c r="G119" s="4">
        <f>'Assumptions'!N10</f>
        <v/>
      </c>
      <c r="H119" s="4" t="inlineStr">
        <is>
          <t>input link</t>
        </is>
      </c>
    </row>
    <row r="120">
      <c r="B120" s="4" t="inlineStr">
        <is>
          <t>Model</t>
        </is>
      </c>
      <c r="C120" s="9" t="inlineStr">
        <is>
          <t>asp_new</t>
        </is>
      </c>
      <c r="D120" s="4" t="inlineStr">
        <is>
          <t>신규 저가모델 ASP</t>
        </is>
      </c>
      <c r="E120" s="4" t="inlineStr">
        <is>
          <t>2028</t>
        </is>
      </c>
      <c r="F120" s="9" t="inlineStr">
        <is>
          <t>O16</t>
        </is>
      </c>
      <c r="G120" s="4">
        <f>'Assumptions'!O10</f>
        <v/>
      </c>
      <c r="H120" s="4" t="inlineStr">
        <is>
          <t>input link</t>
        </is>
      </c>
    </row>
    <row r="121">
      <c r="B121" s="4" t="inlineStr">
        <is>
          <t>Model</t>
        </is>
      </c>
      <c r="C121" s="9" t="inlineStr">
        <is>
          <t>asp_new</t>
        </is>
      </c>
      <c r="D121" s="4" t="inlineStr">
        <is>
          <t>신규 저가모델 ASP</t>
        </is>
      </c>
      <c r="E121" s="4" t="inlineStr">
        <is>
          <t>2029</t>
        </is>
      </c>
      <c r="F121" s="9" t="inlineStr">
        <is>
          <t>P16</t>
        </is>
      </c>
      <c r="G121" s="4">
        <f>'Assumptions'!P10</f>
        <v/>
      </c>
      <c r="H121" s="4" t="inlineStr">
        <is>
          <t>input link</t>
        </is>
      </c>
    </row>
    <row r="122">
      <c r="B122" s="4" t="inlineStr">
        <is>
          <t>Model</t>
        </is>
      </c>
      <c r="C122" s="9" t="inlineStr">
        <is>
          <t>asp_new</t>
        </is>
      </c>
      <c r="D122" s="4" t="inlineStr">
        <is>
          <t>신규 저가모델 ASP</t>
        </is>
      </c>
      <c r="E122" s="4" t="inlineStr">
        <is>
          <t>2030</t>
        </is>
      </c>
      <c r="F122" s="9" t="inlineStr">
        <is>
          <t>Q16</t>
        </is>
      </c>
      <c r="G122" s="4">
        <f>'Assumptions'!Q10</f>
        <v/>
      </c>
      <c r="H122" s="4" t="inlineStr">
        <is>
          <t>input link</t>
        </is>
      </c>
    </row>
    <row r="123">
      <c r="B123" s="4" t="inlineStr">
        <is>
          <t>Model</t>
        </is>
      </c>
      <c r="C123" s="9" t="inlineStr">
        <is>
          <t>asp_new</t>
        </is>
      </c>
      <c r="D123" s="4" t="inlineStr">
        <is>
          <t>신규 저가모델 ASP</t>
        </is>
      </c>
      <c r="E123" s="4" t="inlineStr">
        <is>
          <t>2031</t>
        </is>
      </c>
      <c r="F123" s="9" t="inlineStr">
        <is>
          <t>R16</t>
        </is>
      </c>
      <c r="G123" s="4">
        <f>'Assumptions'!R10</f>
        <v/>
      </c>
      <c r="H123" s="4" t="inlineStr">
        <is>
          <t>input link</t>
        </is>
      </c>
    </row>
    <row r="124">
      <c r="B124" s="4" t="inlineStr">
        <is>
          <t>Model</t>
        </is>
      </c>
      <c r="C124" s="9" t="inlineStr">
        <is>
          <t>auto_leasing</t>
        </is>
      </c>
      <c r="D124" s="4" t="inlineStr">
        <is>
          <t>리스(Leasing)</t>
        </is>
      </c>
      <c r="E124" s="4" t="inlineStr">
        <is>
          <t>2022</t>
        </is>
      </c>
      <c r="F124" s="9" t="inlineStr">
        <is>
          <t>I17</t>
        </is>
      </c>
      <c r="G124" s="4">
        <f>'Assumptions'!I11</f>
        <v/>
      </c>
      <c r="H124" s="4" t="inlineStr">
        <is>
          <t>input link</t>
        </is>
      </c>
    </row>
    <row r="125">
      <c r="B125" s="4" t="inlineStr">
        <is>
          <t>Model</t>
        </is>
      </c>
      <c r="C125" s="9" t="inlineStr">
        <is>
          <t>auto_leasing</t>
        </is>
      </c>
      <c r="D125" s="4" t="inlineStr">
        <is>
          <t>리스(Leasing)</t>
        </is>
      </c>
      <c r="E125" s="4" t="inlineStr">
        <is>
          <t>2023</t>
        </is>
      </c>
      <c r="F125" s="9" t="inlineStr">
        <is>
          <t>J17</t>
        </is>
      </c>
      <c r="G125" s="4">
        <f>'Assumptions'!J11</f>
        <v/>
      </c>
      <c r="H125" s="4" t="inlineStr">
        <is>
          <t>input link</t>
        </is>
      </c>
    </row>
    <row r="126">
      <c r="B126" s="4" t="inlineStr">
        <is>
          <t>Model</t>
        </is>
      </c>
      <c r="C126" s="9" t="inlineStr">
        <is>
          <t>auto_leasing</t>
        </is>
      </c>
      <c r="D126" s="4" t="inlineStr">
        <is>
          <t>리스(Leasing)</t>
        </is>
      </c>
      <c r="E126" s="4" t="inlineStr">
        <is>
          <t>2024</t>
        </is>
      </c>
      <c r="F126" s="9" t="inlineStr">
        <is>
          <t>K17</t>
        </is>
      </c>
      <c r="G126" s="4">
        <f>'Assumptions'!K11</f>
        <v/>
      </c>
      <c r="H126" s="4" t="inlineStr">
        <is>
          <t>input link</t>
        </is>
      </c>
    </row>
    <row r="127">
      <c r="B127" s="4" t="inlineStr">
        <is>
          <t>Model</t>
        </is>
      </c>
      <c r="C127" s="9" t="inlineStr">
        <is>
          <t>auto_leasing</t>
        </is>
      </c>
      <c r="D127" s="4" t="inlineStr">
        <is>
          <t>리스(Leasing)</t>
        </is>
      </c>
      <c r="E127" s="4" t="inlineStr">
        <is>
          <t>2025</t>
        </is>
      </c>
      <c r="F127" s="9" t="inlineStr">
        <is>
          <t>L17</t>
        </is>
      </c>
      <c r="G127" s="4">
        <f>'Assumptions'!L11</f>
        <v/>
      </c>
      <c r="H127" s="4" t="inlineStr">
        <is>
          <t>input link</t>
        </is>
      </c>
    </row>
    <row r="128">
      <c r="B128" s="4" t="inlineStr">
        <is>
          <t>Model</t>
        </is>
      </c>
      <c r="C128" s="9" t="inlineStr">
        <is>
          <t>auto_leasing</t>
        </is>
      </c>
      <c r="D128" s="4" t="inlineStr">
        <is>
          <t>리스(Leasing)</t>
        </is>
      </c>
      <c r="E128" s="4" t="inlineStr">
        <is>
          <t>2026</t>
        </is>
      </c>
      <c r="F128" s="9" t="inlineStr">
        <is>
          <t>M17</t>
        </is>
      </c>
      <c r="G128" s="4">
        <f>'Assumptions'!M11</f>
        <v/>
      </c>
      <c r="H128" s="4" t="inlineStr">
        <is>
          <t>input link</t>
        </is>
      </c>
    </row>
    <row r="129">
      <c r="B129" s="4" t="inlineStr">
        <is>
          <t>Model</t>
        </is>
      </c>
      <c r="C129" s="9" t="inlineStr">
        <is>
          <t>auto_leasing</t>
        </is>
      </c>
      <c r="D129" s="4" t="inlineStr">
        <is>
          <t>리스(Leasing)</t>
        </is>
      </c>
      <c r="E129" s="4" t="inlineStr">
        <is>
          <t>2027</t>
        </is>
      </c>
      <c r="F129" s="9" t="inlineStr">
        <is>
          <t>N17</t>
        </is>
      </c>
      <c r="G129" s="4">
        <f>'Assumptions'!N11</f>
        <v/>
      </c>
      <c r="H129" s="4" t="inlineStr">
        <is>
          <t>input link</t>
        </is>
      </c>
    </row>
    <row r="130">
      <c r="B130" s="4" t="inlineStr">
        <is>
          <t>Model</t>
        </is>
      </c>
      <c r="C130" s="9" t="inlineStr">
        <is>
          <t>auto_leasing</t>
        </is>
      </c>
      <c r="D130" s="4" t="inlineStr">
        <is>
          <t>리스(Leasing)</t>
        </is>
      </c>
      <c r="E130" s="4" t="inlineStr">
        <is>
          <t>2028</t>
        </is>
      </c>
      <c r="F130" s="9" t="inlineStr">
        <is>
          <t>O17</t>
        </is>
      </c>
      <c r="G130" s="4">
        <f>'Assumptions'!O11</f>
        <v/>
      </c>
      <c r="H130" s="4" t="inlineStr">
        <is>
          <t>input link</t>
        </is>
      </c>
    </row>
    <row r="131">
      <c r="B131" s="4" t="inlineStr">
        <is>
          <t>Model</t>
        </is>
      </c>
      <c r="C131" s="9" t="inlineStr">
        <is>
          <t>auto_leasing</t>
        </is>
      </c>
      <c r="D131" s="4" t="inlineStr">
        <is>
          <t>리스(Leasing)</t>
        </is>
      </c>
      <c r="E131" s="4" t="inlineStr">
        <is>
          <t>2029</t>
        </is>
      </c>
      <c r="F131" s="9" t="inlineStr">
        <is>
          <t>P17</t>
        </is>
      </c>
      <c r="G131" s="4">
        <f>'Assumptions'!P11</f>
        <v/>
      </c>
      <c r="H131" s="4" t="inlineStr">
        <is>
          <t>input link</t>
        </is>
      </c>
    </row>
    <row r="132">
      <c r="B132" s="4" t="inlineStr">
        <is>
          <t>Model</t>
        </is>
      </c>
      <c r="C132" s="9" t="inlineStr">
        <is>
          <t>auto_leasing</t>
        </is>
      </c>
      <c r="D132" s="4" t="inlineStr">
        <is>
          <t>리스(Leasing)</t>
        </is>
      </c>
      <c r="E132" s="4" t="inlineStr">
        <is>
          <t>2030</t>
        </is>
      </c>
      <c r="F132" s="9" t="inlineStr">
        <is>
          <t>Q17</t>
        </is>
      </c>
      <c r="G132" s="4">
        <f>'Assumptions'!Q11</f>
        <v/>
      </c>
      <c r="H132" s="4" t="inlineStr">
        <is>
          <t>input link</t>
        </is>
      </c>
    </row>
    <row r="133">
      <c r="B133" s="4" t="inlineStr">
        <is>
          <t>Model</t>
        </is>
      </c>
      <c r="C133" s="9" t="inlineStr">
        <is>
          <t>auto_leasing</t>
        </is>
      </c>
      <c r="D133" s="4" t="inlineStr">
        <is>
          <t>리스(Leasing)</t>
        </is>
      </c>
      <c r="E133" s="4" t="inlineStr">
        <is>
          <t>2031</t>
        </is>
      </c>
      <c r="F133" s="9" t="inlineStr">
        <is>
          <t>R17</t>
        </is>
      </c>
      <c r="G133" s="4">
        <f>'Assumptions'!R11</f>
        <v/>
      </c>
      <c r="H133" s="4" t="inlineStr">
        <is>
          <t>input link</t>
        </is>
      </c>
    </row>
    <row r="134">
      <c r="B134" s="4" t="inlineStr">
        <is>
          <t>Model</t>
        </is>
      </c>
      <c r="C134" s="9" t="inlineStr">
        <is>
          <t>reg_credits</t>
        </is>
      </c>
      <c r="D134" s="4" t="inlineStr">
        <is>
          <t>규제크레딧</t>
        </is>
      </c>
      <c r="E134" s="4" t="inlineStr">
        <is>
          <t>2022</t>
        </is>
      </c>
      <c r="F134" s="9" t="inlineStr">
        <is>
          <t>I18</t>
        </is>
      </c>
      <c r="G134" s="4">
        <f>'Assumptions'!I12</f>
        <v/>
      </c>
      <c r="H134" s="4" t="inlineStr">
        <is>
          <t>input link</t>
        </is>
      </c>
    </row>
    <row r="135">
      <c r="B135" s="4" t="inlineStr">
        <is>
          <t>Model</t>
        </is>
      </c>
      <c r="C135" s="9" t="inlineStr">
        <is>
          <t>reg_credits</t>
        </is>
      </c>
      <c r="D135" s="4" t="inlineStr">
        <is>
          <t>규제크레딧</t>
        </is>
      </c>
      <c r="E135" s="4" t="inlineStr">
        <is>
          <t>2023</t>
        </is>
      </c>
      <c r="F135" s="9" t="inlineStr">
        <is>
          <t>J18</t>
        </is>
      </c>
      <c r="G135" s="4">
        <f>'Assumptions'!J12</f>
        <v/>
      </c>
      <c r="H135" s="4" t="inlineStr">
        <is>
          <t>input link</t>
        </is>
      </c>
    </row>
    <row r="136">
      <c r="B136" s="4" t="inlineStr">
        <is>
          <t>Model</t>
        </is>
      </c>
      <c r="C136" s="9" t="inlineStr">
        <is>
          <t>reg_credits</t>
        </is>
      </c>
      <c r="D136" s="4" t="inlineStr">
        <is>
          <t>규제크레딧</t>
        </is>
      </c>
      <c r="E136" s="4" t="inlineStr">
        <is>
          <t>2024</t>
        </is>
      </c>
      <c r="F136" s="9" t="inlineStr">
        <is>
          <t>K18</t>
        </is>
      </c>
      <c r="G136" s="4">
        <f>'Assumptions'!K12</f>
        <v/>
      </c>
      <c r="H136" s="4" t="inlineStr">
        <is>
          <t>input link</t>
        </is>
      </c>
    </row>
    <row r="137">
      <c r="B137" s="4" t="inlineStr">
        <is>
          <t>Model</t>
        </is>
      </c>
      <c r="C137" s="9" t="inlineStr">
        <is>
          <t>reg_credits</t>
        </is>
      </c>
      <c r="D137" s="4" t="inlineStr">
        <is>
          <t>규제크레딧</t>
        </is>
      </c>
      <c r="E137" s="4" t="inlineStr">
        <is>
          <t>2025</t>
        </is>
      </c>
      <c r="F137" s="9" t="inlineStr">
        <is>
          <t>L18</t>
        </is>
      </c>
      <c r="G137" s="4">
        <f>'Assumptions'!L12</f>
        <v/>
      </c>
      <c r="H137" s="4" t="inlineStr">
        <is>
          <t>input link</t>
        </is>
      </c>
    </row>
    <row r="138">
      <c r="B138" s="4" t="inlineStr">
        <is>
          <t>Model</t>
        </is>
      </c>
      <c r="C138" s="9" t="inlineStr">
        <is>
          <t>reg_credits</t>
        </is>
      </c>
      <c r="D138" s="4" t="inlineStr">
        <is>
          <t>규제크레딧</t>
        </is>
      </c>
      <c r="E138" s="4" t="inlineStr">
        <is>
          <t>2026</t>
        </is>
      </c>
      <c r="F138" s="9" t="inlineStr">
        <is>
          <t>M18</t>
        </is>
      </c>
      <c r="G138" s="4">
        <f>'Assumptions'!M12</f>
        <v/>
      </c>
      <c r="H138" s="4" t="inlineStr">
        <is>
          <t>input link</t>
        </is>
      </c>
    </row>
    <row r="139">
      <c r="B139" s="4" t="inlineStr">
        <is>
          <t>Model</t>
        </is>
      </c>
      <c r="C139" s="9" t="inlineStr">
        <is>
          <t>reg_credits</t>
        </is>
      </c>
      <c r="D139" s="4" t="inlineStr">
        <is>
          <t>규제크레딧</t>
        </is>
      </c>
      <c r="E139" s="4" t="inlineStr">
        <is>
          <t>2027</t>
        </is>
      </c>
      <c r="F139" s="9" t="inlineStr">
        <is>
          <t>N18</t>
        </is>
      </c>
      <c r="G139" s="4">
        <f>'Assumptions'!N12</f>
        <v/>
      </c>
      <c r="H139" s="4" t="inlineStr">
        <is>
          <t>input link</t>
        </is>
      </c>
    </row>
    <row r="140">
      <c r="B140" s="4" t="inlineStr">
        <is>
          <t>Model</t>
        </is>
      </c>
      <c r="C140" s="9" t="inlineStr">
        <is>
          <t>reg_credits</t>
        </is>
      </c>
      <c r="D140" s="4" t="inlineStr">
        <is>
          <t>규제크레딧</t>
        </is>
      </c>
      <c r="E140" s="4" t="inlineStr">
        <is>
          <t>2028</t>
        </is>
      </c>
      <c r="F140" s="9" t="inlineStr">
        <is>
          <t>O18</t>
        </is>
      </c>
      <c r="G140" s="4">
        <f>'Assumptions'!O12</f>
        <v/>
      </c>
      <c r="H140" s="4" t="inlineStr">
        <is>
          <t>input link</t>
        </is>
      </c>
    </row>
    <row r="141">
      <c r="B141" s="4" t="inlineStr">
        <is>
          <t>Model</t>
        </is>
      </c>
      <c r="C141" s="9" t="inlineStr">
        <is>
          <t>reg_credits</t>
        </is>
      </c>
      <c r="D141" s="4" t="inlineStr">
        <is>
          <t>규제크레딧</t>
        </is>
      </c>
      <c r="E141" s="4" t="inlineStr">
        <is>
          <t>2029</t>
        </is>
      </c>
      <c r="F141" s="9" t="inlineStr">
        <is>
          <t>P18</t>
        </is>
      </c>
      <c r="G141" s="4">
        <f>'Assumptions'!P12</f>
        <v/>
      </c>
      <c r="H141" s="4" t="inlineStr">
        <is>
          <t>input link</t>
        </is>
      </c>
    </row>
    <row r="142">
      <c r="B142" s="4" t="inlineStr">
        <is>
          <t>Model</t>
        </is>
      </c>
      <c r="C142" s="9" t="inlineStr">
        <is>
          <t>reg_credits</t>
        </is>
      </c>
      <c r="D142" s="4" t="inlineStr">
        <is>
          <t>규제크레딧</t>
        </is>
      </c>
      <c r="E142" s="4" t="inlineStr">
        <is>
          <t>2030</t>
        </is>
      </c>
      <c r="F142" s="9" t="inlineStr">
        <is>
          <t>Q18</t>
        </is>
      </c>
      <c r="G142" s="4">
        <f>'Assumptions'!Q12</f>
        <v/>
      </c>
      <c r="H142" s="4" t="inlineStr">
        <is>
          <t>input link</t>
        </is>
      </c>
    </row>
    <row r="143">
      <c r="B143" s="4" t="inlineStr">
        <is>
          <t>Model</t>
        </is>
      </c>
      <c r="C143" s="9" t="inlineStr">
        <is>
          <t>reg_credits</t>
        </is>
      </c>
      <c r="D143" s="4" t="inlineStr">
        <is>
          <t>규제크레딧</t>
        </is>
      </c>
      <c r="E143" s="4" t="inlineStr">
        <is>
          <t>2031</t>
        </is>
      </c>
      <c r="F143" s="9" t="inlineStr">
        <is>
          <t>R18</t>
        </is>
      </c>
      <c r="G143" s="4">
        <f>'Assumptions'!R12</f>
        <v/>
      </c>
      <c r="H143" s="4" t="inlineStr">
        <is>
          <t>input link</t>
        </is>
      </c>
    </row>
    <row r="144">
      <c r="B144" s="4" t="inlineStr">
        <is>
          <t>Model</t>
        </is>
      </c>
      <c r="C144" s="9" t="inlineStr">
        <is>
          <t>energy_total</t>
        </is>
      </c>
      <c r="D144" s="4" t="inlineStr">
        <is>
          <t>② Energy</t>
        </is>
      </c>
      <c r="E144" s="4" t="inlineStr">
        <is>
          <t>2022</t>
        </is>
      </c>
      <c r="F144" s="9" t="inlineStr">
        <is>
          <t>I19</t>
        </is>
      </c>
      <c r="G144" s="4">
        <f>(I20*I21)</f>
        <v/>
      </c>
      <c r="H144" s="4" t="inlineStr">
        <is>
          <t>calculation</t>
        </is>
      </c>
    </row>
    <row r="145">
      <c r="B145" s="4" t="inlineStr">
        <is>
          <t>Model</t>
        </is>
      </c>
      <c r="C145" s="9" t="inlineStr">
        <is>
          <t>energy_total</t>
        </is>
      </c>
      <c r="D145" s="4" t="inlineStr">
        <is>
          <t>② Energy</t>
        </is>
      </c>
      <c r="E145" s="4" t="inlineStr">
        <is>
          <t>2023</t>
        </is>
      </c>
      <c r="F145" s="9" t="inlineStr">
        <is>
          <t>J19</t>
        </is>
      </c>
      <c r="G145" s="4">
        <f>(J20*J21)</f>
        <v/>
      </c>
      <c r="H145" s="4" t="inlineStr">
        <is>
          <t>calculation</t>
        </is>
      </c>
    </row>
    <row r="146">
      <c r="B146" s="4" t="inlineStr">
        <is>
          <t>Model</t>
        </is>
      </c>
      <c r="C146" s="9" t="inlineStr">
        <is>
          <t>energy_total</t>
        </is>
      </c>
      <c r="D146" s="4" t="inlineStr">
        <is>
          <t>② Energy</t>
        </is>
      </c>
      <c r="E146" s="4" t="inlineStr">
        <is>
          <t>2024</t>
        </is>
      </c>
      <c r="F146" s="9" t="inlineStr">
        <is>
          <t>K19</t>
        </is>
      </c>
      <c r="G146" s="4">
        <f>(K20*K21)</f>
        <v/>
      </c>
      <c r="H146" s="4" t="inlineStr">
        <is>
          <t>calculation</t>
        </is>
      </c>
    </row>
    <row r="147">
      <c r="B147" s="4" t="inlineStr">
        <is>
          <t>Model</t>
        </is>
      </c>
      <c r="C147" s="9" t="inlineStr">
        <is>
          <t>energy_total</t>
        </is>
      </c>
      <c r="D147" s="4" t="inlineStr">
        <is>
          <t>② Energy</t>
        </is>
      </c>
      <c r="E147" s="4" t="inlineStr">
        <is>
          <t>2025</t>
        </is>
      </c>
      <c r="F147" s="9" t="inlineStr">
        <is>
          <t>L19</t>
        </is>
      </c>
      <c r="G147" s="4">
        <f>(L20*L21)</f>
        <v/>
      </c>
      <c r="H147" s="4" t="inlineStr">
        <is>
          <t>calculation</t>
        </is>
      </c>
    </row>
    <row r="148">
      <c r="B148" s="4" t="inlineStr">
        <is>
          <t>Model</t>
        </is>
      </c>
      <c r="C148" s="9" t="inlineStr">
        <is>
          <t>energy_total</t>
        </is>
      </c>
      <c r="D148" s="4" t="inlineStr">
        <is>
          <t>② Energy</t>
        </is>
      </c>
      <c r="E148" s="4" t="inlineStr">
        <is>
          <t>2026</t>
        </is>
      </c>
      <c r="F148" s="9" t="inlineStr">
        <is>
          <t>M19</t>
        </is>
      </c>
      <c r="G148" s="4">
        <f>(M20*M21)</f>
        <v/>
      </c>
      <c r="H148" s="4" t="inlineStr">
        <is>
          <t>calculation</t>
        </is>
      </c>
    </row>
    <row r="149">
      <c r="B149" s="4" t="inlineStr">
        <is>
          <t>Model</t>
        </is>
      </c>
      <c r="C149" s="9" t="inlineStr">
        <is>
          <t>energy_total</t>
        </is>
      </c>
      <c r="D149" s="4" t="inlineStr">
        <is>
          <t>② Energy</t>
        </is>
      </c>
      <c r="E149" s="4" t="inlineStr">
        <is>
          <t>2027</t>
        </is>
      </c>
      <c r="F149" s="9" t="inlineStr">
        <is>
          <t>N19</t>
        </is>
      </c>
      <c r="G149" s="4">
        <f>(N20*N21)</f>
        <v/>
      </c>
      <c r="H149" s="4" t="inlineStr">
        <is>
          <t>calculation</t>
        </is>
      </c>
    </row>
    <row r="150">
      <c r="B150" s="4" t="inlineStr">
        <is>
          <t>Model</t>
        </is>
      </c>
      <c r="C150" s="9" t="inlineStr">
        <is>
          <t>energy_total</t>
        </is>
      </c>
      <c r="D150" s="4" t="inlineStr">
        <is>
          <t>② Energy</t>
        </is>
      </c>
      <c r="E150" s="4" t="inlineStr">
        <is>
          <t>2028</t>
        </is>
      </c>
      <c r="F150" s="9" t="inlineStr">
        <is>
          <t>O19</t>
        </is>
      </c>
      <c r="G150" s="4">
        <f>(O20*O21)</f>
        <v/>
      </c>
      <c r="H150" s="4" t="inlineStr">
        <is>
          <t>calculation</t>
        </is>
      </c>
    </row>
    <row r="151">
      <c r="B151" s="4" t="inlineStr">
        <is>
          <t>Model</t>
        </is>
      </c>
      <c r="C151" s="9" t="inlineStr">
        <is>
          <t>energy_total</t>
        </is>
      </c>
      <c r="D151" s="4" t="inlineStr">
        <is>
          <t>② Energy</t>
        </is>
      </c>
      <c r="E151" s="4" t="inlineStr">
        <is>
          <t>2029</t>
        </is>
      </c>
      <c r="F151" s="9" t="inlineStr">
        <is>
          <t>P19</t>
        </is>
      </c>
      <c r="G151" s="4">
        <f>(P20*P21)</f>
        <v/>
      </c>
      <c r="H151" s="4" t="inlineStr">
        <is>
          <t>calculation</t>
        </is>
      </c>
    </row>
    <row r="152">
      <c r="B152" s="4" t="inlineStr">
        <is>
          <t>Model</t>
        </is>
      </c>
      <c r="C152" s="9" t="inlineStr">
        <is>
          <t>energy_total</t>
        </is>
      </c>
      <c r="D152" s="4" t="inlineStr">
        <is>
          <t>② Energy</t>
        </is>
      </c>
      <c r="E152" s="4" t="inlineStr">
        <is>
          <t>2030</t>
        </is>
      </c>
      <c r="F152" s="9" t="inlineStr">
        <is>
          <t>Q19</t>
        </is>
      </c>
      <c r="G152" s="4">
        <f>(Q20*Q21)</f>
        <v/>
      </c>
      <c r="H152" s="4" t="inlineStr">
        <is>
          <t>calculation</t>
        </is>
      </c>
    </row>
    <row r="153">
      <c r="B153" s="4" t="inlineStr">
        <is>
          <t>Model</t>
        </is>
      </c>
      <c r="C153" s="9" t="inlineStr">
        <is>
          <t>energy_total</t>
        </is>
      </c>
      <c r="D153" s="4" t="inlineStr">
        <is>
          <t>② Energy</t>
        </is>
      </c>
      <c r="E153" s="4" t="inlineStr">
        <is>
          <t>2031</t>
        </is>
      </c>
      <c r="F153" s="9" t="inlineStr">
        <is>
          <t>R19</t>
        </is>
      </c>
      <c r="G153" s="4">
        <f>(R20*R21)</f>
        <v/>
      </c>
      <c r="H153" s="4" t="inlineStr">
        <is>
          <t>calculation</t>
        </is>
      </c>
    </row>
    <row r="154">
      <c r="B154" s="4" t="inlineStr">
        <is>
          <t>Model</t>
        </is>
      </c>
      <c r="C154" s="9" t="inlineStr">
        <is>
          <t>storage_gwh</t>
        </is>
      </c>
      <c r="D154" s="4" t="inlineStr">
        <is>
          <t>저장 배포량</t>
        </is>
      </c>
      <c r="E154" s="4" t="inlineStr">
        <is>
          <t>2022</t>
        </is>
      </c>
      <c r="F154" s="9" t="inlineStr">
        <is>
          <t>I20</t>
        </is>
      </c>
      <c r="G154" s="4">
        <f>'Assumptions'!I13</f>
        <v/>
      </c>
      <c r="H154" s="4" t="inlineStr">
        <is>
          <t>input link</t>
        </is>
      </c>
    </row>
    <row r="155">
      <c r="B155" s="4" t="inlineStr">
        <is>
          <t>Model</t>
        </is>
      </c>
      <c r="C155" s="9" t="inlineStr">
        <is>
          <t>storage_gwh</t>
        </is>
      </c>
      <c r="D155" s="4" t="inlineStr">
        <is>
          <t>저장 배포량</t>
        </is>
      </c>
      <c r="E155" s="4" t="inlineStr">
        <is>
          <t>2023</t>
        </is>
      </c>
      <c r="F155" s="9" t="inlineStr">
        <is>
          <t>J20</t>
        </is>
      </c>
      <c r="G155" s="4">
        <f>'Assumptions'!J13</f>
        <v/>
      </c>
      <c r="H155" s="4" t="inlineStr">
        <is>
          <t>input link</t>
        </is>
      </c>
    </row>
    <row r="156">
      <c r="B156" s="4" t="inlineStr">
        <is>
          <t>Model</t>
        </is>
      </c>
      <c r="C156" s="9" t="inlineStr">
        <is>
          <t>storage_gwh</t>
        </is>
      </c>
      <c r="D156" s="4" t="inlineStr">
        <is>
          <t>저장 배포량</t>
        </is>
      </c>
      <c r="E156" s="4" t="inlineStr">
        <is>
          <t>2024</t>
        </is>
      </c>
      <c r="F156" s="9" t="inlineStr">
        <is>
          <t>K20</t>
        </is>
      </c>
      <c r="G156" s="4">
        <f>'Assumptions'!K13</f>
        <v/>
      </c>
      <c r="H156" s="4" t="inlineStr">
        <is>
          <t>input link</t>
        </is>
      </c>
    </row>
    <row r="157">
      <c r="B157" s="4" t="inlineStr">
        <is>
          <t>Model</t>
        </is>
      </c>
      <c r="C157" s="9" t="inlineStr">
        <is>
          <t>storage_gwh</t>
        </is>
      </c>
      <c r="D157" s="4" t="inlineStr">
        <is>
          <t>저장 배포량</t>
        </is>
      </c>
      <c r="E157" s="4" t="inlineStr">
        <is>
          <t>2025</t>
        </is>
      </c>
      <c r="F157" s="9" t="inlineStr">
        <is>
          <t>L20</t>
        </is>
      </c>
      <c r="G157" s="4">
        <f>'Assumptions'!L13</f>
        <v/>
      </c>
      <c r="H157" s="4" t="inlineStr">
        <is>
          <t>input link</t>
        </is>
      </c>
    </row>
    <row r="158">
      <c r="B158" s="4" t="inlineStr">
        <is>
          <t>Model</t>
        </is>
      </c>
      <c r="C158" s="9" t="inlineStr">
        <is>
          <t>storage_gwh</t>
        </is>
      </c>
      <c r="D158" s="4" t="inlineStr">
        <is>
          <t>저장 배포량</t>
        </is>
      </c>
      <c r="E158" s="4" t="inlineStr">
        <is>
          <t>2026</t>
        </is>
      </c>
      <c r="F158" s="9" t="inlineStr">
        <is>
          <t>M20</t>
        </is>
      </c>
      <c r="G158" s="4">
        <f>'Assumptions'!M13</f>
        <v/>
      </c>
      <c r="H158" s="4" t="inlineStr">
        <is>
          <t>input link</t>
        </is>
      </c>
    </row>
    <row r="159">
      <c r="B159" s="4" t="inlineStr">
        <is>
          <t>Model</t>
        </is>
      </c>
      <c r="C159" s="9" t="inlineStr">
        <is>
          <t>storage_gwh</t>
        </is>
      </c>
      <c r="D159" s="4" t="inlineStr">
        <is>
          <t>저장 배포량</t>
        </is>
      </c>
      <c r="E159" s="4" t="inlineStr">
        <is>
          <t>2027</t>
        </is>
      </c>
      <c r="F159" s="9" t="inlineStr">
        <is>
          <t>N20</t>
        </is>
      </c>
      <c r="G159" s="4">
        <f>'Assumptions'!N13</f>
        <v/>
      </c>
      <c r="H159" s="4" t="inlineStr">
        <is>
          <t>input link</t>
        </is>
      </c>
    </row>
    <row r="160">
      <c r="B160" s="4" t="inlineStr">
        <is>
          <t>Model</t>
        </is>
      </c>
      <c r="C160" s="9" t="inlineStr">
        <is>
          <t>storage_gwh</t>
        </is>
      </c>
      <c r="D160" s="4" t="inlineStr">
        <is>
          <t>저장 배포량</t>
        </is>
      </c>
      <c r="E160" s="4" t="inlineStr">
        <is>
          <t>2028</t>
        </is>
      </c>
      <c r="F160" s="9" t="inlineStr">
        <is>
          <t>O20</t>
        </is>
      </c>
      <c r="G160" s="4">
        <f>'Assumptions'!O13</f>
        <v/>
      </c>
      <c r="H160" s="4" t="inlineStr">
        <is>
          <t>input link</t>
        </is>
      </c>
    </row>
    <row r="161">
      <c r="B161" s="4" t="inlineStr">
        <is>
          <t>Model</t>
        </is>
      </c>
      <c r="C161" s="9" t="inlineStr">
        <is>
          <t>storage_gwh</t>
        </is>
      </c>
      <c r="D161" s="4" t="inlineStr">
        <is>
          <t>저장 배포량</t>
        </is>
      </c>
      <c r="E161" s="4" t="inlineStr">
        <is>
          <t>2029</t>
        </is>
      </c>
      <c r="F161" s="9" t="inlineStr">
        <is>
          <t>P20</t>
        </is>
      </c>
      <c r="G161" s="4">
        <f>'Assumptions'!P13</f>
        <v/>
      </c>
      <c r="H161" s="4" t="inlineStr">
        <is>
          <t>input link</t>
        </is>
      </c>
    </row>
    <row r="162">
      <c r="B162" s="4" t="inlineStr">
        <is>
          <t>Model</t>
        </is>
      </c>
      <c r="C162" s="9" t="inlineStr">
        <is>
          <t>storage_gwh</t>
        </is>
      </c>
      <c r="D162" s="4" t="inlineStr">
        <is>
          <t>저장 배포량</t>
        </is>
      </c>
      <c r="E162" s="4" t="inlineStr">
        <is>
          <t>2030</t>
        </is>
      </c>
      <c r="F162" s="9" t="inlineStr">
        <is>
          <t>Q20</t>
        </is>
      </c>
      <c r="G162" s="4">
        <f>'Assumptions'!Q13</f>
        <v/>
      </c>
      <c r="H162" s="4" t="inlineStr">
        <is>
          <t>input link</t>
        </is>
      </c>
    </row>
    <row r="163">
      <c r="B163" s="4" t="inlineStr">
        <is>
          <t>Model</t>
        </is>
      </c>
      <c r="C163" s="9" t="inlineStr">
        <is>
          <t>storage_gwh</t>
        </is>
      </c>
      <c r="D163" s="4" t="inlineStr">
        <is>
          <t>저장 배포량</t>
        </is>
      </c>
      <c r="E163" s="4" t="inlineStr">
        <is>
          <t>2031</t>
        </is>
      </c>
      <c r="F163" s="9" t="inlineStr">
        <is>
          <t>R20</t>
        </is>
      </c>
      <c r="G163" s="4">
        <f>'Assumptions'!R13</f>
        <v/>
      </c>
      <c r="H163" s="4" t="inlineStr">
        <is>
          <t>input link</t>
        </is>
      </c>
    </row>
    <row r="164">
      <c r="B164" s="4" t="inlineStr">
        <is>
          <t>Model</t>
        </is>
      </c>
      <c r="C164" s="9" t="inlineStr">
        <is>
          <t>energy_rev_per_gwh</t>
        </is>
      </c>
      <c r="D164" s="4" t="inlineStr">
        <is>
          <t>단위매출</t>
        </is>
      </c>
      <c r="E164" s="4" t="inlineStr">
        <is>
          <t>2022</t>
        </is>
      </c>
      <c r="F164" s="9" t="inlineStr">
        <is>
          <t>I21</t>
        </is>
      </c>
      <c r="G164" s="4">
        <f>'Assumptions'!I14</f>
        <v/>
      </c>
      <c r="H164" s="4" t="inlineStr">
        <is>
          <t>input link</t>
        </is>
      </c>
    </row>
    <row r="165">
      <c r="B165" s="4" t="inlineStr">
        <is>
          <t>Model</t>
        </is>
      </c>
      <c r="C165" s="9" t="inlineStr">
        <is>
          <t>energy_rev_per_gwh</t>
        </is>
      </c>
      <c r="D165" s="4" t="inlineStr">
        <is>
          <t>단위매출</t>
        </is>
      </c>
      <c r="E165" s="4" t="inlineStr">
        <is>
          <t>2023</t>
        </is>
      </c>
      <c r="F165" s="9" t="inlineStr">
        <is>
          <t>J21</t>
        </is>
      </c>
      <c r="G165" s="4">
        <f>'Assumptions'!J14</f>
        <v/>
      </c>
      <c r="H165" s="4" t="inlineStr">
        <is>
          <t>input link</t>
        </is>
      </c>
    </row>
    <row r="166">
      <c r="B166" s="4" t="inlineStr">
        <is>
          <t>Model</t>
        </is>
      </c>
      <c r="C166" s="9" t="inlineStr">
        <is>
          <t>energy_rev_per_gwh</t>
        </is>
      </c>
      <c r="D166" s="4" t="inlineStr">
        <is>
          <t>단위매출</t>
        </is>
      </c>
      <c r="E166" s="4" t="inlineStr">
        <is>
          <t>2024</t>
        </is>
      </c>
      <c r="F166" s="9" t="inlineStr">
        <is>
          <t>K21</t>
        </is>
      </c>
      <c r="G166" s="4">
        <f>'Assumptions'!K14</f>
        <v/>
      </c>
      <c r="H166" s="4" t="inlineStr">
        <is>
          <t>input link</t>
        </is>
      </c>
    </row>
    <row r="167">
      <c r="B167" s="4" t="inlineStr">
        <is>
          <t>Model</t>
        </is>
      </c>
      <c r="C167" s="9" t="inlineStr">
        <is>
          <t>energy_rev_per_gwh</t>
        </is>
      </c>
      <c r="D167" s="4" t="inlineStr">
        <is>
          <t>단위매출</t>
        </is>
      </c>
      <c r="E167" s="4" t="inlineStr">
        <is>
          <t>2025</t>
        </is>
      </c>
      <c r="F167" s="9" t="inlineStr">
        <is>
          <t>L21</t>
        </is>
      </c>
      <c r="G167" s="4">
        <f>'Assumptions'!L14</f>
        <v/>
      </c>
      <c r="H167" s="4" t="inlineStr">
        <is>
          <t>input link</t>
        </is>
      </c>
    </row>
    <row r="168">
      <c r="B168" s="4" t="inlineStr">
        <is>
          <t>Model</t>
        </is>
      </c>
      <c r="C168" s="9" t="inlineStr">
        <is>
          <t>energy_rev_per_gwh</t>
        </is>
      </c>
      <c r="D168" s="4" t="inlineStr">
        <is>
          <t>단위매출</t>
        </is>
      </c>
      <c r="E168" s="4" t="inlineStr">
        <is>
          <t>2026</t>
        </is>
      </c>
      <c r="F168" s="9" t="inlineStr">
        <is>
          <t>M21</t>
        </is>
      </c>
      <c r="G168" s="4">
        <f>'Assumptions'!M14</f>
        <v/>
      </c>
      <c r="H168" s="4" t="inlineStr">
        <is>
          <t>input link</t>
        </is>
      </c>
    </row>
    <row r="169">
      <c r="B169" s="4" t="inlineStr">
        <is>
          <t>Model</t>
        </is>
      </c>
      <c r="C169" s="9" t="inlineStr">
        <is>
          <t>energy_rev_per_gwh</t>
        </is>
      </c>
      <c r="D169" s="4" t="inlineStr">
        <is>
          <t>단위매출</t>
        </is>
      </c>
      <c r="E169" s="4" t="inlineStr">
        <is>
          <t>2027</t>
        </is>
      </c>
      <c r="F169" s="9" t="inlineStr">
        <is>
          <t>N21</t>
        </is>
      </c>
      <c r="G169" s="4">
        <f>'Assumptions'!N14</f>
        <v/>
      </c>
      <c r="H169" s="4" t="inlineStr">
        <is>
          <t>input link</t>
        </is>
      </c>
    </row>
    <row r="170">
      <c r="B170" s="4" t="inlineStr">
        <is>
          <t>Model</t>
        </is>
      </c>
      <c r="C170" s="9" t="inlineStr">
        <is>
          <t>energy_rev_per_gwh</t>
        </is>
      </c>
      <c r="D170" s="4" t="inlineStr">
        <is>
          <t>단위매출</t>
        </is>
      </c>
      <c r="E170" s="4" t="inlineStr">
        <is>
          <t>2028</t>
        </is>
      </c>
      <c r="F170" s="9" t="inlineStr">
        <is>
          <t>O21</t>
        </is>
      </c>
      <c r="G170" s="4">
        <f>'Assumptions'!O14</f>
        <v/>
      </c>
      <c r="H170" s="4" t="inlineStr">
        <is>
          <t>input link</t>
        </is>
      </c>
    </row>
    <row r="171">
      <c r="B171" s="4" t="inlineStr">
        <is>
          <t>Model</t>
        </is>
      </c>
      <c r="C171" s="9" t="inlineStr">
        <is>
          <t>energy_rev_per_gwh</t>
        </is>
      </c>
      <c r="D171" s="4" t="inlineStr">
        <is>
          <t>단위매출</t>
        </is>
      </c>
      <c r="E171" s="4" t="inlineStr">
        <is>
          <t>2029</t>
        </is>
      </c>
      <c r="F171" s="9" t="inlineStr">
        <is>
          <t>P21</t>
        </is>
      </c>
      <c r="G171" s="4">
        <f>'Assumptions'!P14</f>
        <v/>
      </c>
      <c r="H171" s="4" t="inlineStr">
        <is>
          <t>input link</t>
        </is>
      </c>
    </row>
    <row r="172">
      <c r="B172" s="4" t="inlineStr">
        <is>
          <t>Model</t>
        </is>
      </c>
      <c r="C172" s="9" t="inlineStr">
        <is>
          <t>energy_rev_per_gwh</t>
        </is>
      </c>
      <c r="D172" s="4" t="inlineStr">
        <is>
          <t>단위매출</t>
        </is>
      </c>
      <c r="E172" s="4" t="inlineStr">
        <is>
          <t>2030</t>
        </is>
      </c>
      <c r="F172" s="9" t="inlineStr">
        <is>
          <t>Q21</t>
        </is>
      </c>
      <c r="G172" s="4">
        <f>'Assumptions'!Q14</f>
        <v/>
      </c>
      <c r="H172" s="4" t="inlineStr">
        <is>
          <t>input link</t>
        </is>
      </c>
    </row>
    <row r="173">
      <c r="B173" s="4" t="inlineStr">
        <is>
          <t>Model</t>
        </is>
      </c>
      <c r="C173" s="9" t="inlineStr">
        <is>
          <t>energy_rev_per_gwh</t>
        </is>
      </c>
      <c r="D173" s="4" t="inlineStr">
        <is>
          <t>단위매출</t>
        </is>
      </c>
      <c r="E173" s="4" t="inlineStr">
        <is>
          <t>2031</t>
        </is>
      </c>
      <c r="F173" s="9" t="inlineStr">
        <is>
          <t>R21</t>
        </is>
      </c>
      <c r="G173" s="4">
        <f>'Assumptions'!R14</f>
        <v/>
      </c>
      <c r="H173" s="4" t="inlineStr">
        <is>
          <t>input link</t>
        </is>
      </c>
    </row>
    <row r="174">
      <c r="B174" s="4" t="inlineStr">
        <is>
          <t>Model</t>
        </is>
      </c>
      <c r="C174" s="9" t="inlineStr">
        <is>
          <t>services_total</t>
        </is>
      </c>
      <c r="D174" s="4" t="inlineStr">
        <is>
          <t>③ Services</t>
        </is>
      </c>
      <c r="E174" s="4" t="inlineStr">
        <is>
          <t>2022</t>
        </is>
      </c>
      <c r="F174" s="9" t="inlineStr">
        <is>
          <t>I22</t>
        </is>
      </c>
      <c r="G174" s="4">
        <f>(I23*I24)</f>
        <v/>
      </c>
      <c r="H174" s="4" t="inlineStr">
        <is>
          <t>calculation</t>
        </is>
      </c>
    </row>
    <row r="175">
      <c r="B175" s="4" t="inlineStr">
        <is>
          <t>Model</t>
        </is>
      </c>
      <c r="C175" s="9" t="inlineStr">
        <is>
          <t>services_total</t>
        </is>
      </c>
      <c r="D175" s="4" t="inlineStr">
        <is>
          <t>③ Services</t>
        </is>
      </c>
      <c r="E175" s="4" t="inlineStr">
        <is>
          <t>2023</t>
        </is>
      </c>
      <c r="F175" s="9" t="inlineStr">
        <is>
          <t>J22</t>
        </is>
      </c>
      <c r="G175" s="4">
        <f>(J23*J24)</f>
        <v/>
      </c>
      <c r="H175" s="4" t="inlineStr">
        <is>
          <t>calculation</t>
        </is>
      </c>
    </row>
    <row r="176">
      <c r="B176" s="4" t="inlineStr">
        <is>
          <t>Model</t>
        </is>
      </c>
      <c r="C176" s="9" t="inlineStr">
        <is>
          <t>services_total</t>
        </is>
      </c>
      <c r="D176" s="4" t="inlineStr">
        <is>
          <t>③ Services</t>
        </is>
      </c>
      <c r="E176" s="4" t="inlineStr">
        <is>
          <t>2024</t>
        </is>
      </c>
      <c r="F176" s="9" t="inlineStr">
        <is>
          <t>K22</t>
        </is>
      </c>
      <c r="G176" s="4">
        <f>(K23*K24)</f>
        <v/>
      </c>
      <c r="H176" s="4" t="inlineStr">
        <is>
          <t>calculation</t>
        </is>
      </c>
    </row>
    <row r="177">
      <c r="B177" s="4" t="inlineStr">
        <is>
          <t>Model</t>
        </is>
      </c>
      <c r="C177" s="9" t="inlineStr">
        <is>
          <t>services_total</t>
        </is>
      </c>
      <c r="D177" s="4" t="inlineStr">
        <is>
          <t>③ Services</t>
        </is>
      </c>
      <c r="E177" s="4" t="inlineStr">
        <is>
          <t>2025</t>
        </is>
      </c>
      <c r="F177" s="9" t="inlineStr">
        <is>
          <t>L22</t>
        </is>
      </c>
      <c r="G177" s="4">
        <f>(L23*L24)</f>
        <v/>
      </c>
      <c r="H177" s="4" t="inlineStr">
        <is>
          <t>calculation</t>
        </is>
      </c>
    </row>
    <row r="178">
      <c r="B178" s="4" t="inlineStr">
        <is>
          <t>Model</t>
        </is>
      </c>
      <c r="C178" s="9" t="inlineStr">
        <is>
          <t>services_total</t>
        </is>
      </c>
      <c r="D178" s="4" t="inlineStr">
        <is>
          <t>③ Services</t>
        </is>
      </c>
      <c r="E178" s="4" t="inlineStr">
        <is>
          <t>2026</t>
        </is>
      </c>
      <c r="F178" s="9" t="inlineStr">
        <is>
          <t>M22</t>
        </is>
      </c>
      <c r="G178" s="4">
        <f>(M23*M24)</f>
        <v/>
      </c>
      <c r="H178" s="4" t="inlineStr">
        <is>
          <t>calculation</t>
        </is>
      </c>
    </row>
    <row r="179">
      <c r="B179" s="4" t="inlineStr">
        <is>
          <t>Model</t>
        </is>
      </c>
      <c r="C179" s="9" t="inlineStr">
        <is>
          <t>services_total</t>
        </is>
      </c>
      <c r="D179" s="4" t="inlineStr">
        <is>
          <t>③ Services</t>
        </is>
      </c>
      <c r="E179" s="4" t="inlineStr">
        <is>
          <t>2027</t>
        </is>
      </c>
      <c r="F179" s="9" t="inlineStr">
        <is>
          <t>N22</t>
        </is>
      </c>
      <c r="G179" s="4">
        <f>(N23*N24)</f>
        <v/>
      </c>
      <c r="H179" s="4" t="inlineStr">
        <is>
          <t>calculation</t>
        </is>
      </c>
    </row>
    <row r="180">
      <c r="B180" s="4" t="inlineStr">
        <is>
          <t>Model</t>
        </is>
      </c>
      <c r="C180" s="9" t="inlineStr">
        <is>
          <t>services_total</t>
        </is>
      </c>
      <c r="D180" s="4" t="inlineStr">
        <is>
          <t>③ Services</t>
        </is>
      </c>
      <c r="E180" s="4" t="inlineStr">
        <is>
          <t>2028</t>
        </is>
      </c>
      <c r="F180" s="9" t="inlineStr">
        <is>
          <t>O22</t>
        </is>
      </c>
      <c r="G180" s="4">
        <f>(O23*O24)</f>
        <v/>
      </c>
      <c r="H180" s="4" t="inlineStr">
        <is>
          <t>calculation</t>
        </is>
      </c>
    </row>
    <row r="181">
      <c r="B181" s="4" t="inlineStr">
        <is>
          <t>Model</t>
        </is>
      </c>
      <c r="C181" s="9" t="inlineStr">
        <is>
          <t>services_total</t>
        </is>
      </c>
      <c r="D181" s="4" t="inlineStr">
        <is>
          <t>③ Services</t>
        </is>
      </c>
      <c r="E181" s="4" t="inlineStr">
        <is>
          <t>2029</t>
        </is>
      </c>
      <c r="F181" s="9" t="inlineStr">
        <is>
          <t>P22</t>
        </is>
      </c>
      <c r="G181" s="4">
        <f>(P23*P24)</f>
        <v/>
      </c>
      <c r="H181" s="4" t="inlineStr">
        <is>
          <t>calculation</t>
        </is>
      </c>
    </row>
    <row r="182">
      <c r="B182" s="4" t="inlineStr">
        <is>
          <t>Model</t>
        </is>
      </c>
      <c r="C182" s="9" t="inlineStr">
        <is>
          <t>services_total</t>
        </is>
      </c>
      <c r="D182" s="4" t="inlineStr">
        <is>
          <t>③ Services</t>
        </is>
      </c>
      <c r="E182" s="4" t="inlineStr">
        <is>
          <t>2030</t>
        </is>
      </c>
      <c r="F182" s="9" t="inlineStr">
        <is>
          <t>Q22</t>
        </is>
      </c>
      <c r="G182" s="4">
        <f>(Q23*Q24)</f>
        <v/>
      </c>
      <c r="H182" s="4" t="inlineStr">
        <is>
          <t>calculation</t>
        </is>
      </c>
    </row>
    <row r="183">
      <c r="B183" s="4" t="inlineStr">
        <is>
          <t>Model</t>
        </is>
      </c>
      <c r="C183" s="9" t="inlineStr">
        <is>
          <t>services_total</t>
        </is>
      </c>
      <c r="D183" s="4" t="inlineStr">
        <is>
          <t>③ Services</t>
        </is>
      </c>
      <c r="E183" s="4" t="inlineStr">
        <is>
          <t>2031</t>
        </is>
      </c>
      <c r="F183" s="9" t="inlineStr">
        <is>
          <t>R22</t>
        </is>
      </c>
      <c r="G183" s="4">
        <f>(R23*R24)</f>
        <v/>
      </c>
      <c r="H183" s="4" t="inlineStr">
        <is>
          <t>calculation</t>
        </is>
      </c>
    </row>
    <row r="184">
      <c r="B184" s="4" t="inlineStr">
        <is>
          <t>Model</t>
        </is>
      </c>
      <c r="C184" s="9" t="inlineStr">
        <is>
          <t>installed_base</t>
        </is>
      </c>
      <c r="D184" s="4" t="inlineStr">
        <is>
          <t>누적 보유대수</t>
        </is>
      </c>
      <c r="E184" s="4" t="inlineStr">
        <is>
          <t>2022</t>
        </is>
      </c>
      <c r="F184" s="9" t="inlineStr">
        <is>
          <t>I23</t>
        </is>
      </c>
      <c r="G184" s="4">
        <f>'Assumptions'!I15</f>
        <v/>
      </c>
      <c r="H184" s="4" t="inlineStr">
        <is>
          <t>input link</t>
        </is>
      </c>
    </row>
    <row r="185">
      <c r="B185" s="4" t="inlineStr">
        <is>
          <t>Model</t>
        </is>
      </c>
      <c r="C185" s="9" t="inlineStr">
        <is>
          <t>installed_base</t>
        </is>
      </c>
      <c r="D185" s="4" t="inlineStr">
        <is>
          <t>누적 보유대수</t>
        </is>
      </c>
      <c r="E185" s="4" t="inlineStr">
        <is>
          <t>2023</t>
        </is>
      </c>
      <c r="F185" s="9" t="inlineStr">
        <is>
          <t>J23</t>
        </is>
      </c>
      <c r="G185" s="4">
        <f>'Assumptions'!J15</f>
        <v/>
      </c>
      <c r="H185" s="4" t="inlineStr">
        <is>
          <t>input link</t>
        </is>
      </c>
    </row>
    <row r="186">
      <c r="B186" s="4" t="inlineStr">
        <is>
          <t>Model</t>
        </is>
      </c>
      <c r="C186" s="9" t="inlineStr">
        <is>
          <t>installed_base</t>
        </is>
      </c>
      <c r="D186" s="4" t="inlineStr">
        <is>
          <t>누적 보유대수</t>
        </is>
      </c>
      <c r="E186" s="4" t="inlineStr">
        <is>
          <t>2024</t>
        </is>
      </c>
      <c r="F186" s="9" t="inlineStr">
        <is>
          <t>K23</t>
        </is>
      </c>
      <c r="G186" s="4">
        <f>'Assumptions'!K15</f>
        <v/>
      </c>
      <c r="H186" s="4" t="inlineStr">
        <is>
          <t>input link</t>
        </is>
      </c>
    </row>
    <row r="187">
      <c r="B187" s="4" t="inlineStr">
        <is>
          <t>Model</t>
        </is>
      </c>
      <c r="C187" s="9" t="inlineStr">
        <is>
          <t>installed_base</t>
        </is>
      </c>
      <c r="D187" s="4" t="inlineStr">
        <is>
          <t>누적 보유대수</t>
        </is>
      </c>
      <c r="E187" s="4" t="inlineStr">
        <is>
          <t>2025</t>
        </is>
      </c>
      <c r="F187" s="9" t="inlineStr">
        <is>
          <t>L23</t>
        </is>
      </c>
      <c r="G187" s="4">
        <f>'Assumptions'!L15</f>
        <v/>
      </c>
      <c r="H187" s="4" t="inlineStr">
        <is>
          <t>input link</t>
        </is>
      </c>
    </row>
    <row r="188">
      <c r="B188" s="4" t="inlineStr">
        <is>
          <t>Model</t>
        </is>
      </c>
      <c r="C188" s="9" t="inlineStr">
        <is>
          <t>installed_base</t>
        </is>
      </c>
      <c r="D188" s="4" t="inlineStr">
        <is>
          <t>누적 보유대수</t>
        </is>
      </c>
      <c r="E188" s="4" t="inlineStr">
        <is>
          <t>2026</t>
        </is>
      </c>
      <c r="F188" s="9" t="inlineStr">
        <is>
          <t>M23</t>
        </is>
      </c>
      <c r="G188" s="4">
        <f>'Assumptions'!M15</f>
        <v/>
      </c>
      <c r="H188" s="4" t="inlineStr">
        <is>
          <t>input link</t>
        </is>
      </c>
    </row>
    <row r="189">
      <c r="B189" s="4" t="inlineStr">
        <is>
          <t>Model</t>
        </is>
      </c>
      <c r="C189" s="9" t="inlineStr">
        <is>
          <t>installed_base</t>
        </is>
      </c>
      <c r="D189" s="4" t="inlineStr">
        <is>
          <t>누적 보유대수</t>
        </is>
      </c>
      <c r="E189" s="4" t="inlineStr">
        <is>
          <t>2027</t>
        </is>
      </c>
      <c r="F189" s="9" t="inlineStr">
        <is>
          <t>N23</t>
        </is>
      </c>
      <c r="G189" s="4">
        <f>'Assumptions'!N15</f>
        <v/>
      </c>
      <c r="H189" s="4" t="inlineStr">
        <is>
          <t>input link</t>
        </is>
      </c>
    </row>
    <row r="190">
      <c r="B190" s="4" t="inlineStr">
        <is>
          <t>Model</t>
        </is>
      </c>
      <c r="C190" s="9" t="inlineStr">
        <is>
          <t>installed_base</t>
        </is>
      </c>
      <c r="D190" s="4" t="inlineStr">
        <is>
          <t>누적 보유대수</t>
        </is>
      </c>
      <c r="E190" s="4" t="inlineStr">
        <is>
          <t>2028</t>
        </is>
      </c>
      <c r="F190" s="9" t="inlineStr">
        <is>
          <t>O23</t>
        </is>
      </c>
      <c r="G190" s="4">
        <f>'Assumptions'!O15</f>
        <v/>
      </c>
      <c r="H190" s="4" t="inlineStr">
        <is>
          <t>input link</t>
        </is>
      </c>
    </row>
    <row r="191">
      <c r="B191" s="4" t="inlineStr">
        <is>
          <t>Model</t>
        </is>
      </c>
      <c r="C191" s="9" t="inlineStr">
        <is>
          <t>installed_base</t>
        </is>
      </c>
      <c r="D191" s="4" t="inlineStr">
        <is>
          <t>누적 보유대수</t>
        </is>
      </c>
      <c r="E191" s="4" t="inlineStr">
        <is>
          <t>2029</t>
        </is>
      </c>
      <c r="F191" s="9" t="inlineStr">
        <is>
          <t>P23</t>
        </is>
      </c>
      <c r="G191" s="4">
        <f>'Assumptions'!P15</f>
        <v/>
      </c>
      <c r="H191" s="4" t="inlineStr">
        <is>
          <t>input link</t>
        </is>
      </c>
    </row>
    <row r="192">
      <c r="B192" s="4" t="inlineStr">
        <is>
          <t>Model</t>
        </is>
      </c>
      <c r="C192" s="9" t="inlineStr">
        <is>
          <t>installed_base</t>
        </is>
      </c>
      <c r="D192" s="4" t="inlineStr">
        <is>
          <t>누적 보유대수</t>
        </is>
      </c>
      <c r="E192" s="4" t="inlineStr">
        <is>
          <t>2030</t>
        </is>
      </c>
      <c r="F192" s="9" t="inlineStr">
        <is>
          <t>Q23</t>
        </is>
      </c>
      <c r="G192" s="4">
        <f>'Assumptions'!Q15</f>
        <v/>
      </c>
      <c r="H192" s="4" t="inlineStr">
        <is>
          <t>input link</t>
        </is>
      </c>
    </row>
    <row r="193">
      <c r="B193" s="4" t="inlineStr">
        <is>
          <t>Model</t>
        </is>
      </c>
      <c r="C193" s="9" t="inlineStr">
        <is>
          <t>installed_base</t>
        </is>
      </c>
      <c r="D193" s="4" t="inlineStr">
        <is>
          <t>누적 보유대수</t>
        </is>
      </c>
      <c r="E193" s="4" t="inlineStr">
        <is>
          <t>2031</t>
        </is>
      </c>
      <c r="F193" s="9" t="inlineStr">
        <is>
          <t>R23</t>
        </is>
      </c>
      <c r="G193" s="4">
        <f>'Assumptions'!R15</f>
        <v/>
      </c>
      <c r="H193" s="4" t="inlineStr">
        <is>
          <t>input link</t>
        </is>
      </c>
    </row>
    <row r="194">
      <c r="B194" s="4" t="inlineStr">
        <is>
          <t>Model</t>
        </is>
      </c>
      <c r="C194" s="9" t="inlineStr">
        <is>
          <t>service_per_unit</t>
        </is>
      </c>
      <c r="D194" s="4" t="inlineStr">
        <is>
          <t>대당 연 서비스매출</t>
        </is>
      </c>
      <c r="E194" s="4" t="inlineStr">
        <is>
          <t>2022</t>
        </is>
      </c>
      <c r="F194" s="9" t="inlineStr">
        <is>
          <t>I24</t>
        </is>
      </c>
      <c r="G194" s="4">
        <f>'Assumptions'!I16</f>
        <v/>
      </c>
      <c r="H194" s="4" t="inlineStr">
        <is>
          <t>input link</t>
        </is>
      </c>
    </row>
    <row r="195">
      <c r="B195" s="4" t="inlineStr">
        <is>
          <t>Model</t>
        </is>
      </c>
      <c r="C195" s="9" t="inlineStr">
        <is>
          <t>service_per_unit</t>
        </is>
      </c>
      <c r="D195" s="4" t="inlineStr">
        <is>
          <t>대당 연 서비스매출</t>
        </is>
      </c>
      <c r="E195" s="4" t="inlineStr">
        <is>
          <t>2023</t>
        </is>
      </c>
      <c r="F195" s="9" t="inlineStr">
        <is>
          <t>J24</t>
        </is>
      </c>
      <c r="G195" s="4">
        <f>'Assumptions'!J16</f>
        <v/>
      </c>
      <c r="H195" s="4" t="inlineStr">
        <is>
          <t>input link</t>
        </is>
      </c>
    </row>
    <row r="196">
      <c r="B196" s="4" t="inlineStr">
        <is>
          <t>Model</t>
        </is>
      </c>
      <c r="C196" s="9" t="inlineStr">
        <is>
          <t>service_per_unit</t>
        </is>
      </c>
      <c r="D196" s="4" t="inlineStr">
        <is>
          <t>대당 연 서비스매출</t>
        </is>
      </c>
      <c r="E196" s="4" t="inlineStr">
        <is>
          <t>2024</t>
        </is>
      </c>
      <c r="F196" s="9" t="inlineStr">
        <is>
          <t>K24</t>
        </is>
      </c>
      <c r="G196" s="4">
        <f>'Assumptions'!K16</f>
        <v/>
      </c>
      <c r="H196" s="4" t="inlineStr">
        <is>
          <t>input link</t>
        </is>
      </c>
    </row>
    <row r="197">
      <c r="B197" s="4" t="inlineStr">
        <is>
          <t>Model</t>
        </is>
      </c>
      <c r="C197" s="9" t="inlineStr">
        <is>
          <t>service_per_unit</t>
        </is>
      </c>
      <c r="D197" s="4" t="inlineStr">
        <is>
          <t>대당 연 서비스매출</t>
        </is>
      </c>
      <c r="E197" s="4" t="inlineStr">
        <is>
          <t>2025</t>
        </is>
      </c>
      <c r="F197" s="9" t="inlineStr">
        <is>
          <t>L24</t>
        </is>
      </c>
      <c r="G197" s="4">
        <f>'Assumptions'!L16</f>
        <v/>
      </c>
      <c r="H197" s="4" t="inlineStr">
        <is>
          <t>input link</t>
        </is>
      </c>
    </row>
    <row r="198">
      <c r="B198" s="4" t="inlineStr">
        <is>
          <t>Model</t>
        </is>
      </c>
      <c r="C198" s="9" t="inlineStr">
        <is>
          <t>service_per_unit</t>
        </is>
      </c>
      <c r="D198" s="4" t="inlineStr">
        <is>
          <t>대당 연 서비스매출</t>
        </is>
      </c>
      <c r="E198" s="4" t="inlineStr">
        <is>
          <t>2026</t>
        </is>
      </c>
      <c r="F198" s="9" t="inlineStr">
        <is>
          <t>M24</t>
        </is>
      </c>
      <c r="G198" s="4">
        <f>'Assumptions'!M16</f>
        <v/>
      </c>
      <c r="H198" s="4" t="inlineStr">
        <is>
          <t>input link</t>
        </is>
      </c>
    </row>
    <row r="199">
      <c r="B199" s="4" t="inlineStr">
        <is>
          <t>Model</t>
        </is>
      </c>
      <c r="C199" s="9" t="inlineStr">
        <is>
          <t>service_per_unit</t>
        </is>
      </c>
      <c r="D199" s="4" t="inlineStr">
        <is>
          <t>대당 연 서비스매출</t>
        </is>
      </c>
      <c r="E199" s="4" t="inlineStr">
        <is>
          <t>2027</t>
        </is>
      </c>
      <c r="F199" s="9" t="inlineStr">
        <is>
          <t>N24</t>
        </is>
      </c>
      <c r="G199" s="4">
        <f>'Assumptions'!N16</f>
        <v/>
      </c>
      <c r="H199" s="4" t="inlineStr">
        <is>
          <t>input link</t>
        </is>
      </c>
    </row>
    <row r="200">
      <c r="B200" s="4" t="inlineStr">
        <is>
          <t>Model</t>
        </is>
      </c>
      <c r="C200" s="9" t="inlineStr">
        <is>
          <t>service_per_unit</t>
        </is>
      </c>
      <c r="D200" s="4" t="inlineStr">
        <is>
          <t>대당 연 서비스매출</t>
        </is>
      </c>
      <c r="E200" s="4" t="inlineStr">
        <is>
          <t>2028</t>
        </is>
      </c>
      <c r="F200" s="9" t="inlineStr">
        <is>
          <t>O24</t>
        </is>
      </c>
      <c r="G200" s="4">
        <f>'Assumptions'!O16</f>
        <v/>
      </c>
      <c r="H200" s="4" t="inlineStr">
        <is>
          <t>input link</t>
        </is>
      </c>
    </row>
    <row r="201">
      <c r="B201" s="4" t="inlineStr">
        <is>
          <t>Model</t>
        </is>
      </c>
      <c r="C201" s="9" t="inlineStr">
        <is>
          <t>service_per_unit</t>
        </is>
      </c>
      <c r="D201" s="4" t="inlineStr">
        <is>
          <t>대당 연 서비스매출</t>
        </is>
      </c>
      <c r="E201" s="4" t="inlineStr">
        <is>
          <t>2029</t>
        </is>
      </c>
      <c r="F201" s="9" t="inlineStr">
        <is>
          <t>P24</t>
        </is>
      </c>
      <c r="G201" s="4">
        <f>'Assumptions'!P16</f>
        <v/>
      </c>
      <c r="H201" s="4" t="inlineStr">
        <is>
          <t>input link</t>
        </is>
      </c>
    </row>
    <row r="202">
      <c r="B202" s="4" t="inlineStr">
        <is>
          <t>Model</t>
        </is>
      </c>
      <c r="C202" s="9" t="inlineStr">
        <is>
          <t>service_per_unit</t>
        </is>
      </c>
      <c r="D202" s="4" t="inlineStr">
        <is>
          <t>대당 연 서비스매출</t>
        </is>
      </c>
      <c r="E202" s="4" t="inlineStr">
        <is>
          <t>2030</t>
        </is>
      </c>
      <c r="F202" s="9" t="inlineStr">
        <is>
          <t>Q24</t>
        </is>
      </c>
      <c r="G202" s="4">
        <f>'Assumptions'!Q16</f>
        <v/>
      </c>
      <c r="H202" s="4" t="inlineStr">
        <is>
          <t>input link</t>
        </is>
      </c>
    </row>
    <row r="203">
      <c r="B203" s="4" t="inlineStr">
        <is>
          <t>Model</t>
        </is>
      </c>
      <c r="C203" s="9" t="inlineStr">
        <is>
          <t>service_per_unit</t>
        </is>
      </c>
      <c r="D203" s="4" t="inlineStr">
        <is>
          <t>대당 연 서비스매출</t>
        </is>
      </c>
      <c r="E203" s="4" t="inlineStr">
        <is>
          <t>2031</t>
        </is>
      </c>
      <c r="F203" s="9" t="inlineStr">
        <is>
          <t>R24</t>
        </is>
      </c>
      <c r="G203" s="4">
        <f>'Assumptions'!R16</f>
        <v/>
      </c>
      <c r="H203" s="4" t="inlineStr">
        <is>
          <t>input 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23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24" customWidth="1" min="2" max="2"/>
    <col width="30" customWidth="1" min="3" max="3"/>
    <col width="24" customWidth="1" min="4" max="4"/>
    <col width="8" customWidth="1" min="5" max="5"/>
    <col width="12" customWidth="1" min="6" max="6"/>
    <col width="60" customWidth="1" min="7" max="7"/>
    <col width="10" customWidth="1" min="8" max="8"/>
    <col width="70" customWidth="1" min="9" max="9"/>
  </cols>
  <sheetData>
    <row r="1" ht="16.5" customHeight="1">
      <c r="B1" s="1" t="inlineStr">
        <is>
          <t>Structure</t>
        </is>
      </c>
    </row>
    <row r="3">
      <c r="B3" s="2" t="inlineStr">
        <is>
          <t>ID</t>
        </is>
      </c>
      <c r="C3" s="2" t="inlineStr">
        <is>
          <t>Label</t>
        </is>
      </c>
      <c r="D3" s="2" t="inlineStr">
        <is>
          <t>Parent</t>
        </is>
      </c>
      <c r="E3" s="2" t="inlineStr">
        <is>
          <t>Level</t>
        </is>
      </c>
      <c r="F3" s="2" t="inlineStr">
        <is>
          <t>Type</t>
        </is>
      </c>
      <c r="G3" s="2" t="inlineStr">
        <is>
          <t>Formula</t>
        </is>
      </c>
      <c r="H3" s="2" t="inlineStr">
        <is>
          <t>Unit</t>
        </is>
      </c>
      <c r="I3" s="2" t="inlineStr">
        <is>
          <t>Description</t>
        </is>
      </c>
    </row>
    <row r="4">
      <c r="B4" s="9" t="inlineStr">
        <is>
          <t>root</t>
        </is>
      </c>
      <c r="C4" s="4" t="inlineStr">
        <is>
          <t>테슬라 총매출</t>
        </is>
      </c>
      <c r="D4" s="9" t="inlineStr"/>
      <c r="E4" s="4" t="n">
        <v>0</v>
      </c>
      <c r="F4" s="4" t="inlineStr">
        <is>
          <t>computed</t>
        </is>
      </c>
      <c r="G4" s="9" t="inlineStr">
        <is>
          <t>auto_total + energy_total + services_total</t>
        </is>
      </c>
      <c r="H4" s="4" t="inlineStr">
        <is>
          <t>백만$</t>
        </is>
      </c>
      <c r="I4" s="4" t="inlineStr">
        <is>
          <t>Tesla 총매출 = ① Automotive + ② Energy + ③ Services. 2025 실적 94,827. (비용·영업이익은 별도 단계)</t>
        </is>
      </c>
    </row>
    <row r="5">
      <c r="B5" s="9" t="inlineStr">
        <is>
          <t>auto_total</t>
        </is>
      </c>
      <c r="C5" s="4" t="inlineStr">
        <is>
          <t>① Automotive</t>
        </is>
      </c>
      <c r="D5" s="9" t="inlineStr">
        <is>
          <t>root</t>
        </is>
      </c>
      <c r="E5" s="4" t="n">
        <v>1</v>
      </c>
      <c r="F5" s="4" t="inlineStr">
        <is>
          <t>computed</t>
        </is>
      </c>
      <c r="G5" s="9" t="inlineStr">
        <is>
          <t>auto_sales + auto_leasing + reg_credits</t>
        </is>
      </c>
      <c r="H5" s="4" t="inlineStr">
        <is>
          <t>백만$</t>
        </is>
      </c>
      <c r="I5" s="4" t="inlineStr">
        <is>
          <t>자동차 세그먼트. 2025 실적 69,526 (차량판매 65,821 + 리스 1,712 + 크레딧 1,993).</t>
        </is>
      </c>
    </row>
    <row r="6">
      <c r="B6" s="9" t="inlineStr">
        <is>
          <t>auto_sales</t>
        </is>
      </c>
      <c r="C6" s="4" t="inlineStr">
        <is>
          <t>차량판매</t>
        </is>
      </c>
      <c r="D6" s="9" t="inlineStr">
        <is>
          <t>auto_total</t>
        </is>
      </c>
      <c r="E6" s="4" t="n">
        <v>2</v>
      </c>
      <c r="F6" s="4" t="inlineStr">
        <is>
          <t>computed</t>
        </is>
      </c>
      <c r="G6" s="9" t="inlineStr">
        <is>
          <t>sales_3y + sales_sxc + sales_new</t>
        </is>
      </c>
      <c r="H6" s="4" t="inlineStr">
        <is>
          <t>백만$</t>
        </is>
      </c>
      <c r="I6" s="4" t="inlineStr">
        <is>
          <t>차량판매 = Model 3/Y + S/X·Cybertruck + 신규 저가모델 매출. 각 모델매출 = 인도량 × ASP. 2025 실적 65,821.</t>
        </is>
      </c>
    </row>
    <row r="7">
      <c r="B7" s="9" t="inlineStr">
        <is>
          <t>sales_3y</t>
        </is>
      </c>
      <c r="C7" s="4" t="inlineStr">
        <is>
          <t>Model 3/Y 매출</t>
        </is>
      </c>
      <c r="D7" s="9" t="inlineStr">
        <is>
          <t>auto_sales</t>
        </is>
      </c>
      <c r="E7" s="4" t="n">
        <v>3</v>
      </c>
      <c r="F7" s="4" t="inlineStr">
        <is>
          <t>computed</t>
        </is>
      </c>
      <c r="G7" s="9" t="inlineStr">
        <is>
          <t>del_3y * asp_3y</t>
        </is>
      </c>
      <c r="H7" s="4" t="inlineStr">
        <is>
          <t>백만$</t>
        </is>
      </c>
      <c r="I7" s="4" t="inlineStr">
        <is>
          <t>Model 3/Y 매출 = 인도량 × ASP. 차량판매의 주력 볼륨(~95%). 2025 ≈ 62,007.</t>
        </is>
      </c>
    </row>
    <row r="8">
      <c r="B8" s="9" t="inlineStr">
        <is>
          <t>del_3y</t>
        </is>
      </c>
      <c r="C8" s="4" t="inlineStr">
        <is>
          <t>Model 3/Y 인도량</t>
        </is>
      </c>
      <c r="D8" s="9" t="inlineStr">
        <is>
          <t>sales_3y</t>
        </is>
      </c>
      <c r="E8" s="4" t="n">
        <v>4</v>
      </c>
      <c r="F8" s="4" t="inlineStr">
        <is>
          <t>input</t>
        </is>
      </c>
      <c r="G8" s="9" t="inlineStr"/>
      <c r="H8" s="4" t="inlineStr">
        <is>
          <t>천대</t>
        </is>
      </c>
      <c r="I8" s="4" t="inlineStr">
        <is>
          <t>[주관·수요제약] Model 3/Y 인도(천대). 실적: 22) 1,247 23) 1,740 24) 1,704 25) 1,585. FY23 정점 후 둔화. 추정: 시장×점유율 또는 런레이트. 출처 Tesla 분기 인도보고.</t>
        </is>
      </c>
    </row>
    <row r="9">
      <c r="B9" s="9" t="inlineStr">
        <is>
          <t>asp_3y</t>
        </is>
      </c>
      <c r="C9" s="4" t="inlineStr">
        <is>
          <t>Model 3/Y ASP</t>
        </is>
      </c>
      <c r="D9" s="9" t="inlineStr">
        <is>
          <t>sales_3y</t>
        </is>
      </c>
      <c r="E9" s="4" t="n">
        <v>4</v>
      </c>
      <c r="F9" s="4" t="inlineStr">
        <is>
          <t>input</t>
        </is>
      </c>
      <c r="G9" s="9" t="inlineStr"/>
      <c r="H9" s="4" t="inlineStr">
        <is>
          <t>천$/대</t>
        </is>
      </c>
      <c r="I9" s="4" t="inlineStr">
        <is>
          <t>[주관] Model 3/Y 대당 ASP(천$). 실적값은 차량판매-기타모델 역산 내재치(가격인하로 $48K→$39K). 추정: 가격·믹스·FX.</t>
        </is>
      </c>
    </row>
    <row r="10">
      <c r="B10" s="9" t="inlineStr">
        <is>
          <t>sales_sxc</t>
        </is>
      </c>
      <c r="C10" s="4" t="inlineStr">
        <is>
          <t>S/X·Cybertruck 매출</t>
        </is>
      </c>
      <c r="D10" s="9" t="inlineStr">
        <is>
          <t>auto_sales</t>
        </is>
      </c>
      <c r="E10" s="4" t="n">
        <v>3</v>
      </c>
      <c r="F10" s="4" t="inlineStr">
        <is>
          <t>computed</t>
        </is>
      </c>
      <c r="G10" s="9" t="inlineStr">
        <is>
          <t>del_sxc * asp_sxc</t>
        </is>
      </c>
      <c r="H10" s="4" t="inlineStr">
        <is>
          <t>백만$</t>
        </is>
      </c>
      <c r="I10" s="4" t="inlineStr">
        <is>
          <t>S/X·Cybertruck 등 기타모델 매출 = 인도량 × ASP. 고가 틈새. 2025 ≈ 3,814.</t>
        </is>
      </c>
    </row>
    <row r="11">
      <c r="B11" s="9" t="inlineStr">
        <is>
          <t>del_sxc</t>
        </is>
      </c>
      <c r="C11" s="4" t="inlineStr">
        <is>
          <t>S/X·Cybertruck 인도량</t>
        </is>
      </c>
      <c r="D11" s="9" t="inlineStr">
        <is>
          <t>sales_sxc</t>
        </is>
      </c>
      <c r="E11" s="4" t="n">
        <v>4</v>
      </c>
      <c r="F11" s="4" t="inlineStr">
        <is>
          <t>input</t>
        </is>
      </c>
      <c r="G11" s="9" t="inlineStr"/>
      <c r="H11" s="4" t="inlineStr">
        <is>
          <t>천대</t>
        </is>
      </c>
      <c r="I11" s="4" t="inlineStr">
        <is>
          <t>[주관·추세] S/X+Cybertruck 등 기타모델 인도(천대). 실적: 22) 66.7 23) 68.9 24) 85.1 25) 50.9. 틈새, 연 5~7만대.</t>
        </is>
      </c>
    </row>
    <row r="12">
      <c r="B12" s="9" t="inlineStr">
        <is>
          <t>asp_sxc</t>
        </is>
      </c>
      <c r="C12" s="4" t="inlineStr">
        <is>
          <t>S/X·Cybertruck ASP</t>
        </is>
      </c>
      <c r="D12" s="9" t="inlineStr">
        <is>
          <t>sales_sxc</t>
        </is>
      </c>
      <c r="E12" s="4" t="n">
        <v>4</v>
      </c>
      <c r="F12" s="4" t="inlineStr">
        <is>
          <t>input</t>
        </is>
      </c>
      <c r="G12" s="9" t="inlineStr"/>
      <c r="H12" s="4" t="inlineStr">
        <is>
          <t>천$/대</t>
        </is>
      </c>
      <c r="I12" s="4" t="inlineStr">
        <is>
          <t>[주관] 고가 모델 대당 ASP(천$). S/X 프리미엄+Cybertruck 믹스. 분해 가정값(공시 미제공).</t>
        </is>
      </c>
    </row>
    <row r="13">
      <c r="B13" s="9" t="inlineStr">
        <is>
          <t>sales_new</t>
        </is>
      </c>
      <c r="C13" s="4" t="inlineStr">
        <is>
          <t>신규 저가모델 매출</t>
        </is>
      </c>
      <c r="D13" s="9" t="inlineStr">
        <is>
          <t>auto_sales</t>
        </is>
      </c>
      <c r="E13" s="4" t="n">
        <v>3</v>
      </c>
      <c r="F13" s="4" t="inlineStr">
        <is>
          <t>computed</t>
        </is>
      </c>
      <c r="G13" s="9" t="inlineStr">
        <is>
          <t>del_new * asp_new</t>
        </is>
      </c>
      <c r="H13" s="4" t="inlineStr">
        <is>
          <t>백만$</t>
        </is>
      </c>
      <c r="I13" s="4" t="inlineStr">
        <is>
          <t>신규 저가모델/Cybercab 매출 = 인도량 × ASP. 실적 0, 출시 후 램프업. 2028 베이스 ≈ 17,050.</t>
        </is>
      </c>
    </row>
    <row r="14">
      <c r="B14" s="9" t="inlineStr">
        <is>
          <t>del_new</t>
        </is>
      </c>
      <c r="C14" s="4" t="inlineStr">
        <is>
          <t>신규 저가모델 인도량</t>
        </is>
      </c>
      <c r="D14" s="9" t="inlineStr">
        <is>
          <t>sales_new</t>
        </is>
      </c>
      <c r="E14" s="4" t="n">
        <v>4</v>
      </c>
      <c r="F14" s="4" t="inlineStr">
        <is>
          <t>input</t>
        </is>
      </c>
      <c r="G14" s="9" t="inlineStr"/>
      <c r="H14" s="4" t="inlineStr">
        <is>
          <t>천대</t>
        </is>
      </c>
      <c r="I14" s="4" t="inlineStr">
        <is>
          <t>[주관·공급제약·시나리오] 신규 저가모델/Cybercab 인도(천대). 실적 0. 추정: 출시 후 생산 램프업 곡선. 26)100 27)350 28)550(베이스).</t>
        </is>
      </c>
    </row>
    <row r="15">
      <c r="B15" s="9" t="inlineStr">
        <is>
          <t>asp_new</t>
        </is>
      </c>
      <c r="C15" s="4" t="inlineStr">
        <is>
          <t>신규 저가모델 ASP</t>
        </is>
      </c>
      <c r="D15" s="9" t="inlineStr">
        <is>
          <t>sales_new</t>
        </is>
      </c>
      <c r="E15" s="4" t="n">
        <v>4</v>
      </c>
      <c r="F15" s="4" t="inlineStr">
        <is>
          <t>input</t>
        </is>
      </c>
      <c r="G15" s="9" t="inlineStr"/>
      <c r="H15" s="4" t="inlineStr">
        <is>
          <t>천$/대</t>
        </is>
      </c>
      <c r="I15" s="4" t="inlineStr">
        <is>
          <t>[주관] 신규 저가모델 ASP(천$). 저가 포지셔닝 → 블렌디드 ASP 하락 요인. 베이스 ~$32K.</t>
        </is>
      </c>
    </row>
    <row r="16">
      <c r="B16" s="9" t="inlineStr">
        <is>
          <t>auto_leasing</t>
        </is>
      </c>
      <c r="C16" s="4" t="inlineStr">
        <is>
          <t>리스(Leasing)</t>
        </is>
      </c>
      <c r="D16" s="9" t="inlineStr">
        <is>
          <t>auto_total</t>
        </is>
      </c>
      <c r="E16" s="4" t="n">
        <v>2</v>
      </c>
      <c r="F16" s="4" t="inlineStr">
        <is>
          <t>input</t>
        </is>
      </c>
      <c r="G16" s="9" t="inlineStr"/>
      <c r="H16" s="4" t="inlineStr">
        <is>
          <t>백만$</t>
        </is>
      </c>
      <c r="I16" s="4" t="inlineStr">
        <is>
          <t>[주관] 자동차 리스 매출(백만$). 실적: 22) 2,476 23) 2,120 24) 1,827 25) 1,712. 감소세. 출처 10-K/8-K 손익계산서.</t>
        </is>
      </c>
    </row>
    <row r="17">
      <c r="B17" s="9" t="inlineStr">
        <is>
          <t>reg_credits</t>
        </is>
      </c>
      <c r="C17" s="4" t="inlineStr">
        <is>
          <t>규제크레딧</t>
        </is>
      </c>
      <c r="D17" s="9" t="inlineStr">
        <is>
          <t>auto_total</t>
        </is>
      </c>
      <c r="E17" s="4" t="n">
        <v>2</v>
      </c>
      <c r="F17" s="4" t="inlineStr">
        <is>
          <t>input</t>
        </is>
      </c>
      <c r="G17" s="9" t="inlineStr"/>
      <c r="H17" s="4" t="inlineStr">
        <is>
          <t>백만$</t>
        </is>
      </c>
      <c r="I17" s="4" t="inlineStr">
        <is>
          <t>[주관·외생] 탄소배출권 매출(백만$). 실적: 22) 1,776 23) 1,790 24) 2,763 25) 1,993. 마진≈100%. OBBBA 등 규제축소로 step-down 추정.</t>
        </is>
      </c>
    </row>
    <row r="18">
      <c r="B18" s="9" t="inlineStr">
        <is>
          <t>energy_total</t>
        </is>
      </c>
      <c r="C18" s="4" t="inlineStr">
        <is>
          <t>② Energy</t>
        </is>
      </c>
      <c r="D18" s="9" t="inlineStr">
        <is>
          <t>root</t>
        </is>
      </c>
      <c r="E18" s="4" t="n">
        <v>1</v>
      </c>
      <c r="F18" s="4" t="inlineStr">
        <is>
          <t>computed</t>
        </is>
      </c>
      <c r="G18" s="9" t="inlineStr">
        <is>
          <t>storage_gwh * energy_rev_per_gwh</t>
        </is>
      </c>
      <c r="H18" s="4" t="inlineStr">
        <is>
          <t>백만$</t>
        </is>
      </c>
      <c r="I18" s="4" t="inlineStr">
        <is>
          <t>에너지 세그먼트 = 저장 배포량 × 블렌디드 단위매출(솔라·서비스 포함). 2025 실적 12,771. 매년 ~2배 성장축.</t>
        </is>
      </c>
    </row>
    <row r="19">
      <c r="B19" s="9" t="inlineStr">
        <is>
          <t>storage_gwh</t>
        </is>
      </c>
      <c r="C19" s="4" t="inlineStr">
        <is>
          <t>저장 배포량</t>
        </is>
      </c>
      <c r="D19" s="9" t="inlineStr">
        <is>
          <t>energy_total</t>
        </is>
      </c>
      <c r="E19" s="4" t="n">
        <v>2</v>
      </c>
      <c r="F19" s="4" t="inlineStr">
        <is>
          <t>input</t>
        </is>
      </c>
      <c r="G19" s="9" t="inlineStr"/>
      <c r="H19" s="4" t="inlineStr">
        <is>
          <t>GWh</t>
        </is>
      </c>
      <c r="I19" s="4" t="inlineStr">
        <is>
          <t>[주관·공급제약] 에너지 저장 배포(GWh). 실적: 22) 6.5 23) 14.7 24) 31.4 25) 46.7. Megafactory capacity×가동률. 가이던스 +50%/yr.</t>
        </is>
      </c>
    </row>
    <row r="20">
      <c r="B20" s="9" t="inlineStr">
        <is>
          <t>energy_rev_per_gwh</t>
        </is>
      </c>
      <c r="C20" s="4" t="inlineStr">
        <is>
          <t>단위매출</t>
        </is>
      </c>
      <c r="D20" s="9" t="inlineStr">
        <is>
          <t>energy_total</t>
        </is>
      </c>
      <c r="E20" s="4" t="n">
        <v>2</v>
      </c>
      <c r="F20" s="4" t="inlineStr">
        <is>
          <t>input</t>
        </is>
      </c>
      <c r="G20" s="9" t="inlineStr"/>
      <c r="H20" s="4" t="inlineStr">
        <is>
          <t>백만$/GWh</t>
        </is>
      </c>
      <c r="I20" s="4" t="inlineStr">
        <is>
          <t>[주관] 블렌디드 단위매출(백만$/GWh = $/kWh). 솔라·에너지서비스 혼입. 스케일·믹스로 하락 추세($601→$273).</t>
        </is>
      </c>
    </row>
    <row r="21">
      <c r="B21" s="9" t="inlineStr">
        <is>
          <t>services_total</t>
        </is>
      </c>
      <c r="C21" s="4" t="inlineStr">
        <is>
          <t>③ Services</t>
        </is>
      </c>
      <c r="D21" s="9" t="inlineStr">
        <is>
          <t>root</t>
        </is>
      </c>
      <c r="E21" s="4" t="n">
        <v>1</v>
      </c>
      <c r="F21" s="4" t="inlineStr">
        <is>
          <t>computed</t>
        </is>
      </c>
      <c r="G21" s="9" t="inlineStr">
        <is>
          <t>installed_base * service_per_unit</t>
        </is>
      </c>
      <c r="H21" s="4" t="inlineStr">
        <is>
          <t>백만$</t>
        </is>
      </c>
      <c r="I21" s="4" t="inlineStr">
        <is>
          <t>서비스·기타 = 누적 보유대수 × 대당 연매출. 중고차·부품·슈퍼차저·보험. 2025 실적 12,530. 보유대수 증가에 연동.</t>
        </is>
      </c>
    </row>
    <row r="22">
      <c r="B22" s="9" t="inlineStr">
        <is>
          <t>installed_base</t>
        </is>
      </c>
      <c r="C22" s="4" t="inlineStr">
        <is>
          <t>누적 보유대수</t>
        </is>
      </c>
      <c r="D22" s="9" t="inlineStr">
        <is>
          <t>services_total</t>
        </is>
      </c>
      <c r="E22" s="4" t="n">
        <v>2</v>
      </c>
      <c r="F22" s="4" t="inlineStr">
        <is>
          <t>input</t>
        </is>
      </c>
      <c r="G22" s="9" t="inlineStr"/>
      <c r="H22" s="4" t="inlineStr">
        <is>
          <t>백만대</t>
        </is>
      </c>
      <c r="I22" s="4" t="inlineStr">
        <is>
          <t>[계산·교차참조] 누적 보유대수(백만대) = 전년누적 + 당해 인도량(①과 연결). 2021말 2.34M 시드. 2025말 ~8.89M. (HTML은 단일패스 엔진 한계로 입력 노드로 적재 — Excel 단계에서 PREV(누적)+인도량/1000 수식으로 자동 배선)</t>
        </is>
      </c>
    </row>
    <row r="23">
      <c r="B23" s="9" t="inlineStr">
        <is>
          <t>service_per_unit</t>
        </is>
      </c>
      <c r="C23" s="4" t="inlineStr">
        <is>
          <t>대당 연 서비스매출</t>
        </is>
      </c>
      <c r="D23" s="9" t="inlineStr">
        <is>
          <t>services_total</t>
        </is>
      </c>
      <c r="E23" s="4" t="n">
        <v>2</v>
      </c>
      <c r="F23" s="4" t="inlineStr">
        <is>
          <t>input</t>
        </is>
      </c>
      <c r="G23" s="9" t="inlineStr"/>
      <c r="H23" s="4" t="inlineStr">
        <is>
          <t>$/대</t>
        </is>
      </c>
      <c r="I23" s="4" t="inlineStr">
        <is>
          <t>[주관] 보유차 1대당 연 서비스매출($). 실적 내재: $1,667→$1,410. 슈퍼차저 개방·FSD 구독은 상방옵션.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42" customWidth="1" min="2" max="2"/>
    <col width="24" customWidth="1" min="3" max="3"/>
    <col width="14" customWidth="1" min="4" max="4"/>
  </cols>
  <sheetData>
    <row r="1" ht="16.5" customHeight="1">
      <c r="B1" s="1" t="inlineStr">
        <is>
          <t>Checks</t>
        </is>
      </c>
    </row>
    <row r="3">
      <c r="B3" s="2" t="inlineStr">
        <is>
          <t>Check</t>
        </is>
      </c>
      <c r="C3" s="2" t="inlineStr">
        <is>
          <t>Result</t>
        </is>
      </c>
      <c r="D3" s="2" t="inlineStr">
        <is>
          <t>Status</t>
        </is>
      </c>
    </row>
    <row r="4">
      <c r="B4" s="4" t="inlineStr">
        <is>
          <t>Formula cells generated</t>
        </is>
      </c>
      <c r="C4" s="29" t="n">
        <v>80</v>
      </c>
      <c r="D4" s="30" t="inlineStr">
        <is>
          <t>OK</t>
        </is>
      </c>
    </row>
    <row r="5">
      <c r="B5" s="4" t="inlineStr">
        <is>
          <t>Input links generated</t>
        </is>
      </c>
      <c r="C5" s="29" t="n">
        <v>120</v>
      </c>
      <c r="D5" s="30" t="inlineStr">
        <is>
          <t>OK</t>
        </is>
      </c>
    </row>
    <row r="6">
      <c r="B6" s="4" t="inlineStr">
        <is>
          <t>Operating sheets generated</t>
        </is>
      </c>
      <c r="C6" s="29" t="inlineStr">
        <is>
          <t>Generic model only</t>
        </is>
      </c>
      <c r="D6" s="30" t="inlineStr">
        <is>
          <t>OK</t>
        </is>
      </c>
    </row>
    <row r="7">
      <c r="B7" s="4" t="inlineStr">
        <is>
          <t>Computed nodes</t>
        </is>
      </c>
      <c r="C7" s="29" t="n">
        <v>8</v>
      </c>
      <c r="D7" s="30" t="inlineStr">
        <is>
          <t>OK</t>
        </is>
      </c>
    </row>
    <row r="8">
      <c r="B8" s="4" t="inlineStr">
        <is>
          <t>Input nodes</t>
        </is>
      </c>
      <c r="C8" s="29" t="n">
        <v>12</v>
      </c>
      <c r="D8" s="30" t="inlineStr">
        <is>
          <t>OK</t>
        </is>
      </c>
    </row>
    <row r="9">
      <c r="B9" s="4" t="inlineStr">
        <is>
          <t>All computed formulas parsed</t>
        </is>
      </c>
      <c r="C9" s="29" t="inlineStr">
        <is>
          <t>OK</t>
        </is>
      </c>
      <c r="D9" s="30" t="inlineStr">
        <is>
          <t>OK</t>
        </is>
      </c>
    </row>
    <row r="10">
      <c r="B10" s="4" t="inlineStr">
        <is>
          <t>All inputs centralized in Assumptions</t>
        </is>
      </c>
      <c r="C10" s="29" t="inlineStr">
        <is>
          <t>OK</t>
        </is>
      </c>
      <c r="D10" s="30" t="inlineStr">
        <is>
          <t>OK</t>
        </is>
      </c>
    </row>
    <row r="11">
      <c r="B11" s="4" t="inlineStr">
        <is>
          <t>HTML nodes in Structure</t>
        </is>
      </c>
      <c r="C11" s="29" t="n">
        <v>20</v>
      </c>
      <c r="D11" s="30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zoomScale="100" workbookViewId="0">
      <selection activeCell="A1" sqref="A1"/>
    </sheetView>
  </sheetViews>
  <sheetFormatPr baseColWidth="8" defaultRowHeight="15"/>
  <cols>
    <col width="1" customWidth="1" min="1" max="1"/>
    <col width="24" customWidth="1" min="2" max="2"/>
    <col width="90" customWidth="1" min="3" max="3"/>
  </cols>
  <sheetData>
    <row r="1" ht="16.5" customHeight="1">
      <c r="B1" s="1" t="inlineStr">
        <is>
          <t>Metadata</t>
        </is>
      </c>
    </row>
    <row r="3">
      <c r="B3" s="8" t="inlineStr">
        <is>
          <t>Generated by</t>
        </is>
      </c>
      <c r="C3" s="4" t="inlineStr">
        <is>
          <t>financial-modeling/framework/build_excel.py</t>
        </is>
      </c>
    </row>
    <row r="4">
      <c r="B4" s="8" t="inlineStr">
        <is>
          <t>IR version</t>
        </is>
      </c>
      <c r="C4" s="4" t="n">
        <v>1</v>
      </c>
    </row>
    <row r="5">
      <c r="B5" s="8" t="inlineStr">
        <is>
          <t>Nodes</t>
        </is>
      </c>
      <c r="C5" s="4" t="n">
        <v>20</v>
      </c>
    </row>
    <row r="6">
      <c r="B6" s="8" t="inlineStr">
        <is>
          <t>Input nodes</t>
        </is>
      </c>
      <c r="C6" s="4" t="n">
        <v>12</v>
      </c>
    </row>
    <row r="7">
      <c r="B7" s="8" t="inlineStr">
        <is>
          <t>Computed nodes</t>
        </is>
      </c>
      <c r="C7" s="4" t="n">
        <v>8</v>
      </c>
    </row>
    <row r="8">
      <c r="B8" s="8" t="inlineStr">
        <is>
          <t>Formula cells</t>
        </is>
      </c>
      <c r="C8" s="4" t="n">
        <v>80</v>
      </c>
    </row>
    <row r="9">
      <c r="B9" s="8" t="inlineStr">
        <is>
          <t>Input link cells</t>
        </is>
      </c>
      <c r="C9" s="4" t="n">
        <v>120</v>
      </c>
    </row>
    <row r="10">
      <c r="B10" s="8" t="inlineStr">
        <is>
          <t>Years</t>
        </is>
      </c>
      <c r="C10" s="4" t="inlineStr">
        <is>
          <t>2022–2031 (10개)</t>
        </is>
      </c>
    </row>
    <row r="11">
      <c r="B11" s="8" t="inlineStr">
        <is>
          <t>Policy</t>
        </is>
      </c>
      <c r="C11" s="4" t="inlineStr">
        <is>
          <t>Inputs are centralized in Assumptions; operating sheets and Model contain live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2026-05-25T09:39:27Z</dcterms:created>
  <dcterms:modified xmlns:dcterms="http://purl.org/dc/terms/" xmlns:xsi="http://www.w3.org/2001/XMLSchema-instance" xsi:type="dcterms:W3CDTF">2026-05-25T09:39:27Z</dcterms:modified>
</cp:coreProperties>
</file>